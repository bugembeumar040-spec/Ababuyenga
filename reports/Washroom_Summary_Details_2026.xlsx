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l Washroom Deatils" sheetId="1" state="visible" r:id="rId1"/>
    <sheet name="Staff Washroom Deatils" sheetId="2" state="visible" r:id="rId2"/>
    <sheet name="External Staff Washroom" sheetId="3" state="visible" r:id="rId3"/>
    <sheet name="FAE Washroom Details" sheetId="4" state="visible" r:id="rId4"/>
    <sheet name="FAE Handicap Washroom" sheetId="5" state="visible" r:id="rId5"/>
    <sheet name="FAE Staff Washroom" sheetId="6" state="visible" r:id="rId6"/>
    <sheet name="Mall Handicap Washroom" sheetId="7" state="visible" r:id="rId7"/>
    <sheet name="Zabeel Washroom Details" sheetId="8" state="visible" r:id="rId8"/>
    <sheet name="Zabeel Handicap Washroom" sheetId="9" state="visible" r:id="rId9"/>
    <sheet name="CT Washroom Details" sheetId="10" state="visible" r:id="rId10"/>
    <sheet name="CT Handicap Washroom" sheetId="11" state="visible" r:id="rId11"/>
    <sheet name="FV Washroom Details" sheetId="12" state="visible" r:id="rId12"/>
    <sheet name="FV Handicap Washroom" sheetId="13" state="visible" r:id="rId13"/>
    <sheet name="Baby Room Details" sheetId="14" state="visible" r:id="rId14"/>
    <sheet name="Washroom Assets Summe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0000"/>
      <sz val="18"/>
    </font>
    <font>
      <name val="Calibri"/>
      <color rgb="00FFFFFF"/>
      <sz val="18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8"/>
    </font>
    <font>
      <name val="Calibri"/>
      <b val="1"/>
      <color rgb="00000000"/>
      <sz val="14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000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 style="thin"/>
      <bottom style="thin"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thin"/>
      <diagonal/>
    </border>
    <border>
      <left style="medium"/>
      <right style="medium"/>
      <top style="medium"/>
      <bottom style="thin"/>
    </border>
    <border>
      <left style="medium"/>
      <right style="medium"/>
      <top style="thin"/>
      <bottom style="medium"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3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2192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Cubicle</t>
        </is>
      </c>
      <c r="E1" s="1" t="inlineStr">
        <is>
          <t xml:space="preserve">Peadl Bins </t>
        </is>
      </c>
      <c r="F1" s="1" t="inlineStr">
        <is>
          <t>Urinals</t>
        </is>
      </c>
      <c r="G1" s="1" t="inlineStr">
        <is>
          <t>Wash basin</t>
        </is>
      </c>
      <c r="H1" s="1" t="inlineStr">
        <is>
          <t xml:space="preserve">Tissue Dispensers </t>
        </is>
      </c>
      <c r="I1" s="1" t="inlineStr">
        <is>
          <t>Remarks</t>
        </is>
      </c>
    </row>
    <row r="2" ht="44.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33.65" customHeight="1">
      <c r="A3" s="2" t="inlineStr">
        <is>
          <t xml:space="preserve">LGM Management office </t>
        </is>
      </c>
      <c r="B3" s="2" t="n">
        <v>1</v>
      </c>
      <c r="C3" s="2" t="inlineStr">
        <is>
          <t>Male WR</t>
        </is>
      </c>
      <c r="D3" s="2" t="n">
        <v>5</v>
      </c>
      <c r="E3" s="2" t="n">
        <v>5</v>
      </c>
      <c r="F3" s="2" t="n">
        <v>4</v>
      </c>
      <c r="G3" s="2" t="n">
        <v>2</v>
      </c>
      <c r="H3" s="2" t="n"/>
      <c r="I3" s="2" t="n"/>
    </row>
    <row r="4" ht="33.65" customHeight="1">
      <c r="A4" s="3" t="n"/>
      <c r="B4" s="2" t="n">
        <v>2</v>
      </c>
      <c r="C4" s="2" t="inlineStr">
        <is>
          <t>Female WR</t>
        </is>
      </c>
      <c r="D4" s="2" t="n">
        <v>4</v>
      </c>
      <c r="E4" s="2" t="n">
        <v>4</v>
      </c>
      <c r="F4" s="2" t="n">
        <v>0</v>
      </c>
      <c r="G4" s="2" t="n">
        <v>4</v>
      </c>
      <c r="H4" s="2" t="n"/>
      <c r="I4" s="2" t="n"/>
    </row>
    <row r="5" ht="33.65" customHeight="1">
      <c r="A5" s="2" t="inlineStr">
        <is>
          <t xml:space="preserve">LG Management Guest service </t>
        </is>
      </c>
      <c r="B5" s="2" t="n">
        <v>1</v>
      </c>
      <c r="C5" s="2" t="inlineStr">
        <is>
          <t>Male WR</t>
        </is>
      </c>
      <c r="D5" s="2" t="n">
        <v>3</v>
      </c>
      <c r="E5" s="2" t="n">
        <v>3</v>
      </c>
      <c r="F5" s="2" t="n">
        <v>0</v>
      </c>
      <c r="G5" s="2" t="n">
        <v>3</v>
      </c>
      <c r="H5" s="2" t="n"/>
      <c r="I5" s="2" t="n"/>
    </row>
    <row r="6" ht="33.65" customHeight="1">
      <c r="A6" s="3" t="n"/>
      <c r="B6" s="2" t="n">
        <v>2</v>
      </c>
      <c r="C6" s="2" t="inlineStr">
        <is>
          <t>Female WR</t>
        </is>
      </c>
      <c r="D6" s="2" t="n">
        <v>2</v>
      </c>
      <c r="E6" s="2" t="n">
        <v>2</v>
      </c>
      <c r="F6" s="2" t="n">
        <v>0</v>
      </c>
      <c r="G6" s="2" t="n">
        <v>2</v>
      </c>
      <c r="H6" s="2" t="n"/>
      <c r="I6" s="2" t="n"/>
    </row>
    <row r="7" ht="33.65" customHeight="1">
      <c r="A7" s="2" t="inlineStr">
        <is>
          <t>LG DED</t>
        </is>
      </c>
      <c r="B7" s="2" t="n">
        <v>1</v>
      </c>
      <c r="C7" s="2" t="inlineStr">
        <is>
          <t>Male WR</t>
        </is>
      </c>
      <c r="D7" s="2" t="n">
        <v>4</v>
      </c>
      <c r="E7" s="2" t="n">
        <v>4</v>
      </c>
      <c r="F7" s="2" t="n">
        <v>2</v>
      </c>
      <c r="G7" s="2" t="n">
        <v>5</v>
      </c>
      <c r="H7" s="2" t="n"/>
      <c r="I7" s="2" t="n"/>
    </row>
    <row r="8" ht="33.65" customHeight="1">
      <c r="A8" s="3" t="n"/>
      <c r="B8" s="2" t="n">
        <v>2</v>
      </c>
      <c r="C8" s="2" t="inlineStr">
        <is>
          <t>Female WR</t>
        </is>
      </c>
      <c r="D8" s="2" t="n">
        <v>4</v>
      </c>
      <c r="E8" s="2" t="n">
        <v>4</v>
      </c>
      <c r="F8" s="2" t="n">
        <v>0</v>
      </c>
      <c r="G8" s="2" t="n">
        <v>5</v>
      </c>
      <c r="H8" s="2" t="n"/>
      <c r="I8" s="2" t="n"/>
    </row>
    <row r="9" ht="33.65" customHeight="1">
      <c r="A9" s="2" t="inlineStr">
        <is>
          <t xml:space="preserve">LG Waitrose </t>
        </is>
      </c>
      <c r="B9" s="2" t="n">
        <v>1</v>
      </c>
      <c r="C9" s="2" t="inlineStr">
        <is>
          <t>Male WR</t>
        </is>
      </c>
      <c r="D9" s="2" t="n">
        <v>8</v>
      </c>
      <c r="E9" s="2" t="n">
        <v>8</v>
      </c>
      <c r="F9" s="2" t="n">
        <v>5</v>
      </c>
      <c r="G9" s="2" t="n">
        <v>5</v>
      </c>
      <c r="H9" s="2" t="n"/>
      <c r="I9" s="2" t="n"/>
    </row>
    <row r="10" ht="33.65" customHeight="1">
      <c r="A10" s="3" t="n"/>
      <c r="B10" s="2" t="n">
        <v>2</v>
      </c>
      <c r="C10" s="2" t="inlineStr">
        <is>
          <t>Female WR</t>
        </is>
      </c>
      <c r="D10" s="2" t="n">
        <v>7</v>
      </c>
      <c r="E10" s="2" t="n">
        <v>7</v>
      </c>
      <c r="F10" s="2" t="n">
        <v>0</v>
      </c>
      <c r="G10" s="2" t="n">
        <v>8</v>
      </c>
      <c r="H10" s="2" t="n"/>
      <c r="I10" s="2" t="n"/>
    </row>
    <row r="11" ht="33.65" customHeight="1">
      <c r="A11" s="2" t="inlineStr">
        <is>
          <t xml:space="preserve">LG Munities </t>
        </is>
      </c>
      <c r="B11" s="2" t="n">
        <v>1</v>
      </c>
      <c r="C11" s="2" t="inlineStr">
        <is>
          <t>Male WR</t>
        </is>
      </c>
      <c r="D11" s="2" t="n">
        <v>7</v>
      </c>
      <c r="E11" s="2" t="n">
        <v>7</v>
      </c>
      <c r="F11" s="2" t="n">
        <v>0</v>
      </c>
      <c r="G11" s="2" t="n">
        <v>7</v>
      </c>
      <c r="H11" s="2" t="n"/>
      <c r="I11" s="2" t="n"/>
    </row>
    <row r="12" ht="33.65" customHeight="1">
      <c r="A12" s="3" t="n"/>
      <c r="B12" s="2" t="n">
        <v>2</v>
      </c>
      <c r="C12" s="2" t="inlineStr">
        <is>
          <t>Female WR</t>
        </is>
      </c>
      <c r="D12" s="2" t="n">
        <v>7</v>
      </c>
      <c r="E12" s="2" t="n">
        <v>7</v>
      </c>
      <c r="F12" s="2" t="n">
        <v>0</v>
      </c>
      <c r="G12" s="2" t="n">
        <v>7</v>
      </c>
      <c r="H12" s="2" t="n"/>
      <c r="I12" s="2" t="n"/>
    </row>
    <row r="13" ht="33.65" customHeight="1">
      <c r="A13" s="2" t="inlineStr">
        <is>
          <t xml:space="preserve">LG Star Atrium </t>
        </is>
      </c>
      <c r="B13" s="2" t="n">
        <v>1</v>
      </c>
      <c r="C13" s="2" t="inlineStr">
        <is>
          <t>Male WR</t>
        </is>
      </c>
      <c r="D13" s="2" t="n">
        <v>8</v>
      </c>
      <c r="E13" s="2" t="n">
        <v>8</v>
      </c>
      <c r="F13" s="2" t="n">
        <v>5</v>
      </c>
      <c r="G13" s="2" t="n">
        <v>5</v>
      </c>
      <c r="H13" s="2" t="n"/>
      <c r="I13" s="2" t="n"/>
    </row>
    <row r="14" ht="33.65" customHeight="1">
      <c r="A14" s="3" t="n"/>
      <c r="B14" s="2" t="n">
        <v>2</v>
      </c>
      <c r="C14" s="2" t="inlineStr">
        <is>
          <t>Female WR</t>
        </is>
      </c>
      <c r="D14" s="2" t="n">
        <v>8</v>
      </c>
      <c r="E14" s="2" t="n">
        <v>8</v>
      </c>
      <c r="F14" s="2" t="n">
        <v>0</v>
      </c>
      <c r="G14" s="2" t="n">
        <v>8</v>
      </c>
      <c r="H14" s="2" t="n"/>
      <c r="I14" s="2" t="n"/>
    </row>
    <row r="15" ht="33.65" customHeight="1">
      <c r="A15" s="2" t="inlineStr">
        <is>
          <t xml:space="preserve">LG Waterfall </t>
        </is>
      </c>
      <c r="B15" s="2" t="n">
        <v>1</v>
      </c>
      <c r="C15" s="2" t="inlineStr">
        <is>
          <t>Male WR</t>
        </is>
      </c>
      <c r="D15" s="2" t="n">
        <v>7</v>
      </c>
      <c r="E15" s="2" t="n">
        <v>7</v>
      </c>
      <c r="F15" s="2" t="n">
        <v>4</v>
      </c>
      <c r="G15" s="2" t="n">
        <v>5</v>
      </c>
      <c r="H15" s="2" t="n"/>
      <c r="I15" s="2" t="n"/>
    </row>
    <row r="16" ht="33.65" customHeight="1">
      <c r="A16" s="3" t="n"/>
      <c r="B16" s="2" t="n">
        <v>2</v>
      </c>
      <c r="C16" s="2" t="inlineStr">
        <is>
          <t>Female WR</t>
        </is>
      </c>
      <c r="D16" s="2" t="n">
        <v>7</v>
      </c>
      <c r="E16" s="2" t="n">
        <v>7</v>
      </c>
      <c r="F16" s="2" t="n">
        <v>0</v>
      </c>
      <c r="G16" s="2" t="n">
        <v>9</v>
      </c>
      <c r="H16" s="2" t="n"/>
      <c r="I16" s="2" t="n"/>
    </row>
    <row r="17" ht="33.65" customHeight="1">
      <c r="A17" s="2" t="inlineStr">
        <is>
          <t xml:space="preserve">LG Food Court Chines Place </t>
        </is>
      </c>
      <c r="B17" s="2" t="n">
        <v>1</v>
      </c>
      <c r="C17" s="2" t="inlineStr">
        <is>
          <t>Male WR</t>
        </is>
      </c>
      <c r="D17" s="2" t="n">
        <v>7</v>
      </c>
      <c r="E17" s="2" t="n">
        <v>7</v>
      </c>
      <c r="F17" s="2" t="n">
        <v>5</v>
      </c>
      <c r="G17" s="2" t="n">
        <v>5</v>
      </c>
      <c r="H17" s="2" t="n"/>
      <c r="I17" s="2" t="n"/>
    </row>
    <row r="18" ht="33.65" customHeight="1">
      <c r="A18" s="3" t="n"/>
      <c r="B18" s="2" t="n">
        <v>2</v>
      </c>
      <c r="C18" s="2" t="inlineStr">
        <is>
          <t>Female WR</t>
        </is>
      </c>
      <c r="D18" s="2" t="n">
        <v>8</v>
      </c>
      <c r="E18" s="2" t="n">
        <v>8</v>
      </c>
      <c r="F18" s="2" t="n">
        <v>0</v>
      </c>
      <c r="G18" s="2" t="n">
        <v>8</v>
      </c>
      <c r="H18" s="2" t="n"/>
      <c r="I18" s="2" t="n"/>
    </row>
    <row r="19" ht="33.65" customHeight="1">
      <c r="A19" s="2" t="inlineStr">
        <is>
          <t>LG Food court AT THE TOP</t>
        </is>
      </c>
      <c r="B19" s="2" t="n">
        <v>1</v>
      </c>
      <c r="C19" s="2" t="inlineStr">
        <is>
          <t>Male WR</t>
        </is>
      </c>
      <c r="D19" s="2" t="n">
        <v>18</v>
      </c>
      <c r="E19" s="2" t="n">
        <v>18</v>
      </c>
      <c r="F19" s="2" t="n">
        <v>12</v>
      </c>
      <c r="G19" s="2" t="n">
        <v>12</v>
      </c>
      <c r="H19" s="2" t="n"/>
      <c r="I19" s="2" t="n"/>
    </row>
    <row r="20" ht="33.65" customHeight="1">
      <c r="A20" s="3" t="n"/>
      <c r="B20" s="2" t="n">
        <v>2</v>
      </c>
      <c r="C20" s="2" t="inlineStr">
        <is>
          <t>Female WR</t>
        </is>
      </c>
      <c r="D20" s="2" t="n">
        <v>22</v>
      </c>
      <c r="E20" s="2" t="n">
        <v>22</v>
      </c>
      <c r="F20" s="2" t="n">
        <v>0</v>
      </c>
      <c r="G20" s="2" t="n">
        <v>12</v>
      </c>
      <c r="H20" s="2" t="n"/>
      <c r="I20" s="2" t="n"/>
    </row>
    <row r="21" ht="33.65" customHeight="1">
      <c r="A21" s="2" t="inlineStr">
        <is>
          <t xml:space="preserve">GF Media Drum </t>
        </is>
      </c>
      <c r="B21" s="2" t="n">
        <v>1</v>
      </c>
      <c r="C21" s="2" t="inlineStr">
        <is>
          <t>Male WR</t>
        </is>
      </c>
      <c r="D21" s="2" t="n">
        <v>8</v>
      </c>
      <c r="E21" s="2" t="n">
        <v>8</v>
      </c>
      <c r="F21" s="2" t="n">
        <v>5</v>
      </c>
      <c r="G21" s="2" t="n">
        <v>5</v>
      </c>
      <c r="H21" s="2" t="n"/>
      <c r="I21" s="2" t="n"/>
    </row>
    <row r="22" ht="33.65" customHeight="1">
      <c r="A22" s="3" t="n"/>
      <c r="B22" s="2" t="n">
        <v>2</v>
      </c>
      <c r="C22" s="2" t="inlineStr">
        <is>
          <t>Female WR</t>
        </is>
      </c>
      <c r="D22" s="2" t="n">
        <v>8</v>
      </c>
      <c r="E22" s="2" t="n">
        <v>8</v>
      </c>
      <c r="F22" s="2" t="n">
        <v>0</v>
      </c>
      <c r="G22" s="2" t="n">
        <v>8</v>
      </c>
      <c r="H22" s="2" t="n"/>
      <c r="I22" s="2" t="n"/>
    </row>
    <row r="23" ht="33.65" customHeight="1">
      <c r="A23" s="2" t="inlineStr">
        <is>
          <t xml:space="preserve">GF Catwalk </t>
        </is>
      </c>
      <c r="B23" s="2" t="n">
        <v>1</v>
      </c>
      <c r="C23" s="2" t="inlineStr">
        <is>
          <t>Male WR</t>
        </is>
      </c>
      <c r="D23" s="2" t="n">
        <v>7</v>
      </c>
      <c r="E23" s="2" t="n">
        <v>7</v>
      </c>
      <c r="F23" s="2" t="n">
        <v>5</v>
      </c>
      <c r="G23" s="2" t="n">
        <v>6</v>
      </c>
      <c r="H23" s="2" t="n"/>
      <c r="I23" s="2" t="n"/>
    </row>
    <row r="24" ht="33.65" customHeight="1">
      <c r="A24" s="3" t="n"/>
      <c r="B24" s="2" t="n">
        <v>2</v>
      </c>
      <c r="C24" s="2" t="inlineStr">
        <is>
          <t>Female WR</t>
        </is>
      </c>
      <c r="D24" s="2" t="n">
        <v>8</v>
      </c>
      <c r="E24" s="2" t="n">
        <v>8</v>
      </c>
      <c r="F24" s="2" t="n">
        <v>0</v>
      </c>
      <c r="G24" s="2" t="n">
        <v>8</v>
      </c>
      <c r="H24" s="2" t="n"/>
      <c r="I24" s="2" t="n"/>
    </row>
    <row r="25" ht="33.65" customHeight="1">
      <c r="A25" s="2" t="inlineStr">
        <is>
          <t xml:space="preserve">GF Grand Atrium </t>
        </is>
      </c>
      <c r="B25" s="2" t="n">
        <v>1</v>
      </c>
      <c r="C25" s="2" t="inlineStr">
        <is>
          <t>Male WR</t>
        </is>
      </c>
      <c r="D25" s="2" t="n">
        <v>10</v>
      </c>
      <c r="E25" s="2" t="n">
        <v>10</v>
      </c>
      <c r="F25" s="2" t="n">
        <v>5</v>
      </c>
      <c r="G25" s="2" t="n">
        <v>6</v>
      </c>
      <c r="H25" s="2" t="n"/>
      <c r="I25" s="2" t="n"/>
    </row>
    <row r="26" ht="33.65" customHeight="1">
      <c r="A26" s="3" t="n"/>
      <c r="B26" s="2" t="n">
        <v>2</v>
      </c>
      <c r="C26" s="2" t="inlineStr">
        <is>
          <t>Female WR</t>
        </is>
      </c>
      <c r="D26" s="2" t="n">
        <v>10</v>
      </c>
      <c r="E26" s="2" t="n">
        <v>10</v>
      </c>
      <c r="F26" s="2" t="n">
        <v>0</v>
      </c>
      <c r="G26" s="2" t="n">
        <v>11</v>
      </c>
      <c r="H26" s="2" t="n"/>
      <c r="I26" s="2" t="n"/>
    </row>
    <row r="27" ht="33.65" customHeight="1">
      <c r="A27" s="2" t="inlineStr">
        <is>
          <t xml:space="preserve">GF Star Atrium </t>
        </is>
      </c>
      <c r="B27" s="2" t="n">
        <v>1</v>
      </c>
      <c r="C27" s="2" t="inlineStr">
        <is>
          <t>Male WR</t>
        </is>
      </c>
      <c r="D27" s="2" t="n">
        <v>10</v>
      </c>
      <c r="E27" s="2" t="n">
        <v>10</v>
      </c>
      <c r="F27" s="2" t="n">
        <v>5</v>
      </c>
      <c r="G27" s="2" t="n">
        <v>8</v>
      </c>
      <c r="H27" s="2" t="n"/>
      <c r="I27" s="2" t="n"/>
    </row>
    <row r="28" ht="33.65" customHeight="1">
      <c r="A28" s="3" t="n"/>
      <c r="B28" s="2" t="n">
        <v>2</v>
      </c>
      <c r="C28" s="2" t="inlineStr">
        <is>
          <t>Female WR</t>
        </is>
      </c>
      <c r="D28" s="2" t="n">
        <v>9</v>
      </c>
      <c r="E28" s="2" t="n">
        <v>9</v>
      </c>
      <c r="F28" s="2" t="n">
        <v>0</v>
      </c>
      <c r="G28" s="2" t="n">
        <v>9</v>
      </c>
      <c r="H28" s="2" t="n"/>
      <c r="I28" s="2" t="n"/>
    </row>
    <row r="29" ht="33.65" customHeight="1">
      <c r="A29" s="2" t="inlineStr">
        <is>
          <t xml:space="preserve">GF Ice Rink </t>
        </is>
      </c>
      <c r="B29" s="2" t="n">
        <v>1</v>
      </c>
      <c r="C29" s="2" t="inlineStr">
        <is>
          <t>Male WR</t>
        </is>
      </c>
      <c r="D29" s="2" t="n">
        <v>10</v>
      </c>
      <c r="E29" s="2" t="n">
        <v>10</v>
      </c>
      <c r="F29" s="2" t="n">
        <v>5</v>
      </c>
      <c r="G29" s="2" t="n">
        <v>7</v>
      </c>
      <c r="H29" s="2" t="n"/>
      <c r="I29" s="2" t="n"/>
    </row>
    <row r="30" ht="33.65" customHeight="1">
      <c r="A30" s="3" t="n"/>
      <c r="B30" s="2" t="n">
        <v>2</v>
      </c>
      <c r="C30" s="2" t="inlineStr">
        <is>
          <t>Female WR</t>
        </is>
      </c>
      <c r="D30" s="2" t="n">
        <v>9</v>
      </c>
      <c r="E30" s="2" t="n">
        <v>9</v>
      </c>
      <c r="F30" s="2" t="n">
        <v>0</v>
      </c>
      <c r="G30" s="2" t="n">
        <v>9</v>
      </c>
      <c r="H30" s="2" t="n"/>
      <c r="I30" s="2" t="n"/>
    </row>
    <row r="31" ht="33.65" customHeight="1">
      <c r="A31" s="2" t="inlineStr">
        <is>
          <t xml:space="preserve">GF  Banana </t>
        </is>
      </c>
      <c r="B31" s="2" t="n">
        <v>1</v>
      </c>
      <c r="C31" s="2" t="inlineStr">
        <is>
          <t>Male WR</t>
        </is>
      </c>
      <c r="D31" s="2" t="n">
        <v>8</v>
      </c>
      <c r="E31" s="2" t="n">
        <v>8</v>
      </c>
      <c r="F31" s="2" t="n">
        <v>5</v>
      </c>
      <c r="G31" s="2" t="n">
        <v>5</v>
      </c>
      <c r="H31" s="2" t="n"/>
      <c r="I31" s="2" t="n"/>
    </row>
    <row r="32" ht="33.65" customHeight="1">
      <c r="A32" s="3" t="n"/>
      <c r="B32" s="2" t="n">
        <v>2</v>
      </c>
      <c r="C32" s="2" t="inlineStr">
        <is>
          <t>Female WR</t>
        </is>
      </c>
      <c r="D32" s="2" t="n">
        <v>8</v>
      </c>
      <c r="E32" s="2" t="n">
        <v>8</v>
      </c>
      <c r="F32" s="2" t="n">
        <v>0</v>
      </c>
      <c r="G32" s="2" t="n">
        <v>9</v>
      </c>
      <c r="H32" s="2" t="n"/>
      <c r="I32" s="2" t="n"/>
    </row>
    <row r="33" ht="33.65" customHeight="1">
      <c r="A33" s="2" t="inlineStr">
        <is>
          <t xml:space="preserve">FF Media Drum </t>
        </is>
      </c>
      <c r="B33" s="2" t="n">
        <v>1</v>
      </c>
      <c r="C33" s="2" t="inlineStr">
        <is>
          <t>Male WR</t>
        </is>
      </c>
      <c r="D33" s="2" t="n">
        <v>8</v>
      </c>
      <c r="E33" s="2" t="n">
        <v>8</v>
      </c>
      <c r="F33" s="2" t="n">
        <v>5</v>
      </c>
      <c r="G33" s="2" t="n">
        <v>5</v>
      </c>
      <c r="H33" s="2" t="n"/>
      <c r="I33" s="2" t="n"/>
    </row>
    <row r="34" ht="33.65" customHeight="1">
      <c r="A34" s="3" t="n"/>
      <c r="B34" s="2" t="n">
        <v>2</v>
      </c>
      <c r="C34" s="2" t="inlineStr">
        <is>
          <t>Female WR</t>
        </is>
      </c>
      <c r="D34" s="2" t="n">
        <v>8</v>
      </c>
      <c r="E34" s="2" t="n">
        <v>8</v>
      </c>
      <c r="F34" s="2" t="n">
        <v>0</v>
      </c>
      <c r="G34" s="2" t="n">
        <v>8</v>
      </c>
      <c r="H34" s="2" t="n"/>
      <c r="I34" s="2" t="n"/>
    </row>
    <row r="35" ht="33.65" customHeight="1">
      <c r="A35" s="2" t="inlineStr">
        <is>
          <t xml:space="preserve">FF Catwalk </t>
        </is>
      </c>
      <c r="B35" s="2" t="n">
        <v>1</v>
      </c>
      <c r="C35" s="2" t="inlineStr">
        <is>
          <t>Male WR</t>
        </is>
      </c>
      <c r="D35" s="2" t="n">
        <v>7</v>
      </c>
      <c r="E35" s="2" t="n">
        <v>7</v>
      </c>
      <c r="F35" s="2" t="n">
        <v>5</v>
      </c>
      <c r="G35" s="2" t="n">
        <v>6</v>
      </c>
      <c r="H35" s="2" t="n"/>
      <c r="I35" s="2" t="n"/>
    </row>
    <row r="36" ht="33.65" customHeight="1">
      <c r="A36" s="3" t="n"/>
      <c r="B36" s="2" t="n">
        <v>2</v>
      </c>
      <c r="C36" s="2" t="inlineStr">
        <is>
          <t>Female WR</t>
        </is>
      </c>
      <c r="D36" s="2" t="n">
        <v>8</v>
      </c>
      <c r="E36" s="2" t="n">
        <v>8</v>
      </c>
      <c r="F36" s="2" t="n">
        <v>0</v>
      </c>
      <c r="G36" s="2" t="n">
        <v>8</v>
      </c>
      <c r="H36" s="2" t="n"/>
      <c r="I36" s="2" t="n"/>
    </row>
    <row r="37" ht="33.65" customHeight="1">
      <c r="A37" s="2" t="inlineStr">
        <is>
          <t xml:space="preserve">FF Grand Atrium </t>
        </is>
      </c>
      <c r="B37" s="2" t="n">
        <v>1</v>
      </c>
      <c r="C37" s="2" t="inlineStr">
        <is>
          <t>Male WR</t>
        </is>
      </c>
      <c r="D37" s="2" t="n">
        <v>8</v>
      </c>
      <c r="E37" s="2" t="n">
        <v>8</v>
      </c>
      <c r="F37" s="2" t="n">
        <v>5</v>
      </c>
      <c r="G37" s="2" t="n">
        <v>6</v>
      </c>
      <c r="H37" s="2" t="n"/>
      <c r="I37" s="2" t="n"/>
    </row>
    <row r="38" ht="33.65" customHeight="1">
      <c r="A38" s="3" t="n"/>
      <c r="B38" s="2" t="n">
        <v>2</v>
      </c>
      <c r="C38" s="2" t="inlineStr">
        <is>
          <t>Female WR</t>
        </is>
      </c>
      <c r="D38" s="2" t="n">
        <v>8</v>
      </c>
      <c r="E38" s="2" t="n">
        <v>8</v>
      </c>
      <c r="F38" s="2" t="n">
        <v>0</v>
      </c>
      <c r="G38" s="2" t="n">
        <v>8</v>
      </c>
      <c r="H38" s="2" t="n"/>
      <c r="I38" s="2" t="n"/>
    </row>
    <row r="39" ht="33.65" customHeight="1">
      <c r="A39" s="2" t="inlineStr">
        <is>
          <t xml:space="preserve">FF Star Atrium </t>
        </is>
      </c>
      <c r="B39" s="2" t="n">
        <v>1</v>
      </c>
      <c r="C39" s="2" t="inlineStr">
        <is>
          <t>Male WR</t>
        </is>
      </c>
      <c r="D39" s="2" t="n">
        <v>8</v>
      </c>
      <c r="E39" s="2" t="n">
        <v>8</v>
      </c>
      <c r="F39" s="2" t="n">
        <v>5</v>
      </c>
      <c r="G39" s="2" t="n">
        <v>5</v>
      </c>
      <c r="H39" s="2" t="n"/>
      <c r="I39" s="2" t="n"/>
    </row>
    <row r="40" ht="33.65" customHeight="1">
      <c r="A40" s="3" t="n"/>
      <c r="B40" s="2" t="n">
        <v>2</v>
      </c>
      <c r="C40" s="2" t="inlineStr">
        <is>
          <t>Female WR</t>
        </is>
      </c>
      <c r="D40" s="2" t="n">
        <v>8</v>
      </c>
      <c r="E40" s="2" t="n">
        <v>8</v>
      </c>
      <c r="F40" s="2" t="n">
        <v>0</v>
      </c>
      <c r="G40" s="2" t="n">
        <v>8</v>
      </c>
      <c r="H40" s="2" t="n"/>
      <c r="I40" s="2" t="n"/>
    </row>
    <row r="41" ht="33.65" customHeight="1">
      <c r="A41" s="2" t="inlineStr">
        <is>
          <t xml:space="preserve">FF Ice Rink </t>
        </is>
      </c>
      <c r="B41" s="2" t="n">
        <v>1</v>
      </c>
      <c r="C41" s="2" t="inlineStr">
        <is>
          <t>Male WR</t>
        </is>
      </c>
      <c r="D41" s="2" t="n">
        <v>8</v>
      </c>
      <c r="E41" s="2" t="n">
        <v>8</v>
      </c>
      <c r="F41" s="2" t="n">
        <v>5</v>
      </c>
      <c r="G41" s="2" t="n">
        <v>6</v>
      </c>
      <c r="H41" s="2" t="n"/>
      <c r="I41" s="2" t="n"/>
    </row>
    <row r="42" ht="33.65" customHeight="1">
      <c r="A42" s="3" t="n"/>
      <c r="B42" s="2" t="n">
        <v>2</v>
      </c>
      <c r="C42" s="2" t="inlineStr">
        <is>
          <t>Female WR</t>
        </is>
      </c>
      <c r="D42" s="2" t="n">
        <v>8</v>
      </c>
      <c r="E42" s="2" t="n">
        <v>8</v>
      </c>
      <c r="F42" s="2" t="n">
        <v>0</v>
      </c>
      <c r="G42" s="2" t="n">
        <v>5</v>
      </c>
      <c r="H42" s="2" t="n"/>
      <c r="I42" s="2" t="n"/>
    </row>
    <row r="43" ht="33.65" customHeight="1">
      <c r="A43" s="2" t="inlineStr">
        <is>
          <t xml:space="preserve">FF  Banana </t>
        </is>
      </c>
      <c r="B43" s="2" t="n">
        <v>1</v>
      </c>
      <c r="C43" s="2" t="inlineStr">
        <is>
          <t>Male WR</t>
        </is>
      </c>
      <c r="D43" s="2" t="n">
        <v>8</v>
      </c>
      <c r="E43" s="2" t="n">
        <v>8</v>
      </c>
      <c r="F43" s="2" t="n">
        <v>5</v>
      </c>
      <c r="G43" s="2" t="n">
        <v>5</v>
      </c>
      <c r="H43" s="2" t="n"/>
      <c r="I43" s="2" t="n"/>
    </row>
    <row r="44" ht="33.65" customHeight="1">
      <c r="A44" s="3" t="n"/>
      <c r="B44" s="2" t="n">
        <v>2</v>
      </c>
      <c r="C44" s="2" t="inlineStr">
        <is>
          <t>Female WR</t>
        </is>
      </c>
      <c r="D44" s="2" t="n">
        <v>8</v>
      </c>
      <c r="E44" s="2" t="n">
        <v>8</v>
      </c>
      <c r="F44" s="2" t="n">
        <v>0</v>
      </c>
      <c r="G44" s="2" t="n">
        <v>9</v>
      </c>
      <c r="H44" s="2" t="n"/>
      <c r="I44" s="2" t="n"/>
    </row>
    <row r="45" ht="33.65" customHeight="1">
      <c r="A45" s="2" t="inlineStr">
        <is>
          <t xml:space="preserve">SF Media Drum </t>
        </is>
      </c>
      <c r="B45" s="2" t="n">
        <v>1</v>
      </c>
      <c r="C45" s="2" t="inlineStr">
        <is>
          <t>Male WR</t>
        </is>
      </c>
      <c r="D45" s="2" t="n">
        <v>8</v>
      </c>
      <c r="E45" s="2" t="n">
        <v>8</v>
      </c>
      <c r="F45" s="2" t="n">
        <v>5</v>
      </c>
      <c r="G45" s="2" t="n">
        <v>5</v>
      </c>
      <c r="H45" s="2" t="n"/>
      <c r="I45" s="2" t="n"/>
    </row>
    <row r="46" ht="33.65" customHeight="1">
      <c r="A46" s="3" t="n"/>
      <c r="B46" s="2" t="n">
        <v>2</v>
      </c>
      <c r="C46" s="2" t="inlineStr">
        <is>
          <t>Female WR</t>
        </is>
      </c>
      <c r="D46" s="2" t="n">
        <v>8</v>
      </c>
      <c r="E46" s="2" t="n">
        <v>8</v>
      </c>
      <c r="F46" s="2" t="n">
        <v>0</v>
      </c>
      <c r="G46" s="2" t="n">
        <v>8</v>
      </c>
      <c r="H46" s="2" t="n"/>
      <c r="I46" s="2" t="n"/>
    </row>
    <row r="47" ht="33.65" customHeight="1">
      <c r="A47" s="2" t="inlineStr">
        <is>
          <t xml:space="preserve">SF Catwalk </t>
        </is>
      </c>
      <c r="B47" s="2" t="n">
        <v>1</v>
      </c>
      <c r="C47" s="2" t="inlineStr">
        <is>
          <t>Male WR</t>
        </is>
      </c>
      <c r="D47" s="2" t="n">
        <v>7</v>
      </c>
      <c r="E47" s="2" t="n">
        <v>7</v>
      </c>
      <c r="F47" s="2" t="n">
        <v>5</v>
      </c>
      <c r="G47" s="2" t="n">
        <v>6</v>
      </c>
      <c r="H47" s="2" t="n"/>
      <c r="I47" s="2" t="n"/>
    </row>
    <row r="48" ht="33.65" customHeight="1">
      <c r="A48" s="3" t="n"/>
      <c r="B48" s="2" t="n">
        <v>2</v>
      </c>
      <c r="C48" s="2" t="inlineStr">
        <is>
          <t>Female WR</t>
        </is>
      </c>
      <c r="D48" s="2" t="n">
        <v>8</v>
      </c>
      <c r="E48" s="2" t="n">
        <v>8</v>
      </c>
      <c r="F48" s="2" t="n">
        <v>0</v>
      </c>
      <c r="G48" s="2" t="n">
        <v>8</v>
      </c>
      <c r="H48" s="2" t="n"/>
      <c r="I48" s="2" t="n"/>
    </row>
    <row r="49" ht="33.65" customHeight="1">
      <c r="A49" s="2" t="inlineStr">
        <is>
          <t xml:space="preserve">SF Grand Atrium </t>
        </is>
      </c>
      <c r="B49" s="2" t="n">
        <v>1</v>
      </c>
      <c r="C49" s="2" t="inlineStr">
        <is>
          <t>Male WR</t>
        </is>
      </c>
      <c r="D49" s="2" t="n">
        <v>8</v>
      </c>
      <c r="E49" s="2" t="n">
        <v>8</v>
      </c>
      <c r="F49" s="2" t="n">
        <v>5</v>
      </c>
      <c r="G49" s="2" t="n">
        <v>6</v>
      </c>
      <c r="H49" s="2" t="n"/>
      <c r="I49" s="2" t="n"/>
    </row>
    <row r="50" ht="33.65" customHeight="1">
      <c r="A50" s="3" t="n"/>
      <c r="B50" s="2" t="n">
        <v>2</v>
      </c>
      <c r="C50" s="2" t="inlineStr">
        <is>
          <t>Female WR</t>
        </is>
      </c>
      <c r="D50" s="2" t="n">
        <v>8</v>
      </c>
      <c r="E50" s="2" t="n">
        <v>8</v>
      </c>
      <c r="F50" s="2" t="n">
        <v>0</v>
      </c>
      <c r="G50" s="2" t="n">
        <v>9</v>
      </c>
      <c r="H50" s="2" t="n"/>
      <c r="I50" s="2" t="n"/>
    </row>
    <row r="51" ht="33.65" customHeight="1">
      <c r="A51" s="2" t="inlineStr">
        <is>
          <t xml:space="preserve">SF Star Atrium </t>
        </is>
      </c>
      <c r="B51" s="2" t="n">
        <v>1</v>
      </c>
      <c r="C51" s="2" t="inlineStr">
        <is>
          <t>Male WR</t>
        </is>
      </c>
      <c r="D51" s="2" t="n">
        <v>8</v>
      </c>
      <c r="E51" s="2" t="n">
        <v>8</v>
      </c>
      <c r="F51" s="2" t="n">
        <v>5</v>
      </c>
      <c r="G51" s="2" t="n">
        <v>5</v>
      </c>
      <c r="H51" s="2" t="n"/>
      <c r="I51" s="2" t="n"/>
    </row>
    <row r="52" ht="33.65" customHeight="1">
      <c r="A52" s="3" t="n"/>
      <c r="B52" s="2" t="n">
        <v>2</v>
      </c>
      <c r="C52" s="2" t="inlineStr">
        <is>
          <t>Female WR</t>
        </is>
      </c>
      <c r="D52" s="2" t="n">
        <v>8</v>
      </c>
      <c r="E52" s="2" t="n">
        <v>8</v>
      </c>
      <c r="F52" s="2" t="n">
        <v>0</v>
      </c>
      <c r="G52" s="2" t="n">
        <v>8</v>
      </c>
      <c r="H52" s="2" t="n"/>
      <c r="I52" s="2" t="n"/>
    </row>
    <row r="53" ht="33.65" customHeight="1">
      <c r="A53" s="2" t="inlineStr">
        <is>
          <t xml:space="preserve">SF Ice Rink </t>
        </is>
      </c>
      <c r="B53" s="2" t="n">
        <v>1</v>
      </c>
      <c r="C53" s="2" t="inlineStr">
        <is>
          <t>Male WR</t>
        </is>
      </c>
      <c r="D53" s="2" t="n">
        <v>9</v>
      </c>
      <c r="E53" s="2" t="n">
        <v>9</v>
      </c>
      <c r="F53" s="2" t="n">
        <v>5</v>
      </c>
      <c r="G53" s="2" t="n">
        <v>6</v>
      </c>
      <c r="H53" s="2" t="n"/>
      <c r="I53" s="2" t="n"/>
    </row>
    <row r="54" ht="33.65" customHeight="1">
      <c r="A54" s="3" t="n"/>
      <c r="B54" s="2" t="n">
        <v>2</v>
      </c>
      <c r="C54" s="2" t="inlineStr">
        <is>
          <t>Female WR</t>
        </is>
      </c>
      <c r="D54" s="2" t="n">
        <v>8</v>
      </c>
      <c r="E54" s="2" t="n">
        <v>8</v>
      </c>
      <c r="F54" s="2" t="n">
        <v>0</v>
      </c>
      <c r="G54" s="2" t="n">
        <v>7</v>
      </c>
      <c r="H54" s="2" t="n"/>
      <c r="I54" s="2" t="n"/>
    </row>
    <row r="55" ht="33.65" customHeight="1">
      <c r="A55" s="2" t="inlineStr">
        <is>
          <t xml:space="preserve">SF  Banana </t>
        </is>
      </c>
      <c r="B55" s="2" t="n">
        <v>1</v>
      </c>
      <c r="C55" s="2" t="inlineStr">
        <is>
          <t>Male WR</t>
        </is>
      </c>
      <c r="D55" s="2" t="n">
        <v>8</v>
      </c>
      <c r="E55" s="2" t="n">
        <v>8</v>
      </c>
      <c r="F55" s="2" t="n">
        <v>5</v>
      </c>
      <c r="G55" s="2" t="n">
        <v>5</v>
      </c>
      <c r="H55" s="2" t="n"/>
      <c r="I55" s="2" t="n"/>
    </row>
    <row r="56" ht="33.65" customHeight="1">
      <c r="A56" s="3" t="n"/>
      <c r="B56" s="2" t="n">
        <v>2</v>
      </c>
      <c r="C56" s="2" t="inlineStr">
        <is>
          <t>Female WR</t>
        </is>
      </c>
      <c r="D56" s="2" t="n">
        <v>8</v>
      </c>
      <c r="E56" s="2" t="n">
        <v>8</v>
      </c>
      <c r="F56" s="2" t="n">
        <v>0</v>
      </c>
      <c r="G56" s="2" t="n">
        <v>9</v>
      </c>
      <c r="H56" s="2" t="n"/>
      <c r="I56" s="2" t="n"/>
    </row>
    <row r="57" ht="33.65" customHeight="1">
      <c r="A57" s="2" t="inlineStr">
        <is>
          <t xml:space="preserve">SF Food Court </t>
        </is>
      </c>
      <c r="B57" s="2" t="n">
        <v>1</v>
      </c>
      <c r="C57" s="2" t="inlineStr">
        <is>
          <t>Male WR</t>
        </is>
      </c>
      <c r="D57" s="2" t="n">
        <v>10</v>
      </c>
      <c r="E57" s="2" t="n">
        <v>10</v>
      </c>
      <c r="F57" s="2" t="n">
        <v>6</v>
      </c>
      <c r="G57" s="2" t="n">
        <v>6</v>
      </c>
      <c r="H57" s="2" t="n"/>
      <c r="I57" s="2" t="n"/>
    </row>
    <row r="58" ht="33.65" customHeight="1">
      <c r="A58" s="3" t="n"/>
      <c r="B58" s="2" t="n">
        <v>2</v>
      </c>
      <c r="C58" s="2" t="inlineStr">
        <is>
          <t>Female WR</t>
        </is>
      </c>
      <c r="D58" s="2" t="n">
        <v>13</v>
      </c>
      <c r="E58" s="2" t="n">
        <v>13</v>
      </c>
      <c r="F58" s="2" t="n">
        <v>0</v>
      </c>
      <c r="G58" s="2" t="n">
        <v>6</v>
      </c>
      <c r="H58" s="2" t="n"/>
      <c r="I58" s="2" t="n"/>
    </row>
    <row r="59" ht="33.65" customHeight="1">
      <c r="A59" s="2" t="inlineStr">
        <is>
          <t>SF KidZania Lobby</t>
        </is>
      </c>
      <c r="B59" s="2" t="n">
        <v>1</v>
      </c>
      <c r="C59" s="2" t="inlineStr">
        <is>
          <t>Male WR</t>
        </is>
      </c>
      <c r="D59" s="2" t="n">
        <v>8</v>
      </c>
      <c r="E59" s="2" t="n">
        <v>8</v>
      </c>
      <c r="F59" s="2" t="n">
        <v>4</v>
      </c>
      <c r="G59" s="2" t="n">
        <v>5</v>
      </c>
      <c r="H59" s="2" t="n"/>
      <c r="I59" s="2" t="n"/>
    </row>
    <row r="60" ht="33.65" customHeight="1">
      <c r="A60" s="3" t="n"/>
      <c r="B60" s="2" t="n">
        <v>2</v>
      </c>
      <c r="C60" s="2" t="inlineStr">
        <is>
          <t>Female WR</t>
        </is>
      </c>
      <c r="D60" s="2" t="n">
        <v>8</v>
      </c>
      <c r="E60" s="2" t="n">
        <v>8</v>
      </c>
      <c r="F60" s="2" t="n">
        <v>0</v>
      </c>
      <c r="G60" s="2" t="n">
        <v>8</v>
      </c>
      <c r="H60" s="2" t="n"/>
      <c r="I60" s="2" t="n"/>
    </row>
    <row r="61" ht="33.65" customHeight="1">
      <c r="A61" s="2" t="inlineStr">
        <is>
          <t xml:space="preserve">Green Room </t>
        </is>
      </c>
      <c r="B61" s="2" t="n">
        <v>1</v>
      </c>
      <c r="C61" s="2" t="inlineStr">
        <is>
          <t>Male WR</t>
        </is>
      </c>
      <c r="D61" s="2" t="n">
        <v>1</v>
      </c>
      <c r="E61" s="2" t="n">
        <v>1</v>
      </c>
      <c r="F61" s="2" t="n">
        <v>2</v>
      </c>
      <c r="G61" s="2" t="n">
        <v>4</v>
      </c>
      <c r="H61" s="2" t="n"/>
      <c r="I61" s="2" t="n"/>
    </row>
    <row r="62" ht="33.65" customHeight="1">
      <c r="A62" s="3" t="n"/>
      <c r="B62" s="2" t="n">
        <v>2</v>
      </c>
      <c r="C62" s="2" t="inlineStr">
        <is>
          <t>Female WR</t>
        </is>
      </c>
      <c r="D62" s="2" t="n">
        <v>2</v>
      </c>
      <c r="E62" s="2" t="n">
        <v>2</v>
      </c>
      <c r="F62" s="2" t="n">
        <v>0</v>
      </c>
      <c r="G62" s="2" t="n">
        <v>5</v>
      </c>
      <c r="H62" s="2" t="n"/>
      <c r="I62" s="2" t="n"/>
    </row>
    <row r="63" ht="33.65" customHeight="1">
      <c r="A63" s="4" t="inlineStr">
        <is>
          <t xml:space="preserve">Total </t>
        </is>
      </c>
      <c r="B63" s="5" t="n"/>
      <c r="C63" s="6" t="inlineStr">
        <is>
          <t>Male WR</t>
        </is>
      </c>
      <c r="D63" s="6">
        <f>SUM(D3+D5+D7+D9+D11+D13+D15+D17+D19+D21+D23+D25+D27+D29+D31+D33+D35+D37+D39+D41+D43+D45+D47+D49+D51+D53+D55+D57+D59+D61)</f>
        <v/>
      </c>
      <c r="E63" s="6">
        <f>SUM(E3+E5+E7+E9+E11+E13+E15+E17+E19+E21+E23+E25+E27+E29+E31+E33+E35+E37+E39+E41+E43+E45+E47+E49+E51+E53+E55+E57+E59+E61)</f>
        <v/>
      </c>
      <c r="F63" s="6">
        <f>SUM(F3+F5+F7+F9+F11+F13+F15+F17+F19+F21+F23+F25+F27+F29+F31+F33+F35+F37+F39+F41+F43+F45+F47+F49+F51+F53+F55+F57+F59+F61)</f>
        <v/>
      </c>
      <c r="G63" s="6">
        <f>SUM(G3+G5+G7+G9+G11+G13+G15+G17+G19+G21+G23+G25+G27+G29+G31+G33+G35+G37+G39+G41+G43+G45+G47+G49+G51+G53+G55+G57+G59+G61)</f>
        <v/>
      </c>
      <c r="H63" s="6">
        <f>SUM(H3+H5+H7+H9+H11+H13+H15+H17+H19+H21+H23+H25+H27+H29+H31+H33+H35+H37+H39+H41+H43+H45+H47+H49+H51+H53+H55+H57+H59+H61)</f>
        <v/>
      </c>
      <c r="I63" s="6" t="n"/>
    </row>
    <row r="64" ht="33.65" customHeight="1">
      <c r="A64" s="4" t="n"/>
      <c r="B64" s="5" t="n"/>
      <c r="C64" s="6" t="inlineStr">
        <is>
          <t>Female WR</t>
        </is>
      </c>
      <c r="D64" s="6">
        <f>SUM(D4+D6+D8+D10+D12+D14+D16+D18+D20+D22+D24+D26+D28+D30+D32+D34+D36+D38+D40+D42+D44+D46+D48+D50+D52+D54+D56+D58+D60+D62)</f>
        <v/>
      </c>
      <c r="E64" s="6">
        <f>SUM(E4+E6+E8+E10+E12+E14+E16+E18+E20+E22+E24+E26+E28+E30+E32+E34+E36+E38+E40+E42+E44+E46+E48+E50+E52+E54+E56+E58+E60+E62)</f>
        <v/>
      </c>
      <c r="F64" s="6">
        <f>SUM(F4+F6+F8+F10+F12+F14+F16+F18+F20+F22+F24+F26+F28+F30+F32+F34+F36+F38+F40+F42+F44+F46+F48+F50+F52+F54+F56+F58+F60+F62)</f>
        <v/>
      </c>
      <c r="G64" s="6">
        <f>SUM(G4+G6+G8+G10+G12+G14+G16+G18+G20+G22+G24+G26+G28+G30+G32+G34+G36+G38+G40+G42+G44+G46+G48+G50+G52+G54+G56+G58+G60+G62)</f>
        <v/>
      </c>
      <c r="H64" s="6">
        <f>SUM(H4+H6+H8+H10+H12+H14+H16+H18+H20+H22+H24+H26+H28+H30+H32+H34+H36+H38+H40+H42+H44+H46+H48+H50+H52+H54+H56+H58+H60+H62)</f>
        <v/>
      </c>
      <c r="I64" s="6" t="n"/>
    </row>
    <row r="65" ht="33.65" customHeight="1">
      <c r="A65" s="4" t="inlineStr">
        <is>
          <t xml:space="preserve">Sub total </t>
        </is>
      </c>
      <c r="B65" s="5" t="n"/>
      <c r="C65" s="6">
        <f>COUNTA(C3:C64)</f>
        <v/>
      </c>
      <c r="D65" s="6">
        <f>SUM(D63+D64)</f>
        <v/>
      </c>
      <c r="E65" s="6">
        <f>SUM(E63+E64)</f>
        <v/>
      </c>
      <c r="F65" s="6">
        <f>SUM(F63+F64)</f>
        <v/>
      </c>
      <c r="G65" s="6">
        <f>SUM(G63+G64)</f>
        <v/>
      </c>
      <c r="H65" s="6">
        <f>SUM(H63+H64)</f>
        <v/>
      </c>
      <c r="I65" s="6" t="n"/>
    </row>
  </sheetData>
  <mergeCells count="42">
    <mergeCell ref="A61:A62"/>
    <mergeCell ref="A64:B64"/>
    <mergeCell ref="A51:A52"/>
    <mergeCell ref="A7:A8"/>
    <mergeCell ref="A45:A46"/>
    <mergeCell ref="C1:C2"/>
    <mergeCell ref="A41:A42"/>
    <mergeCell ref="E1:E2"/>
    <mergeCell ref="A27:A28"/>
    <mergeCell ref="A65:B65"/>
    <mergeCell ref="A25:A26"/>
    <mergeCell ref="A3:A4"/>
    <mergeCell ref="A55:A56"/>
    <mergeCell ref="A37:A38"/>
    <mergeCell ref="B1:B2"/>
    <mergeCell ref="A21:A22"/>
    <mergeCell ref="A5:A6"/>
    <mergeCell ref="A57:A58"/>
    <mergeCell ref="A17:A18"/>
    <mergeCell ref="A13:A14"/>
    <mergeCell ref="A33:A34"/>
    <mergeCell ref="A29:A30"/>
    <mergeCell ref="A47:A48"/>
    <mergeCell ref="A23:A24"/>
    <mergeCell ref="G1:G2"/>
    <mergeCell ref="I1:I2"/>
    <mergeCell ref="A19:A20"/>
    <mergeCell ref="A53:A54"/>
    <mergeCell ref="A35:A36"/>
    <mergeCell ref="A43:A44"/>
    <mergeCell ref="A9:A10"/>
    <mergeCell ref="A63:B63"/>
    <mergeCell ref="A39:A40"/>
    <mergeCell ref="A15:A16"/>
    <mergeCell ref="A59:A60"/>
    <mergeCell ref="D1:D2"/>
    <mergeCell ref="A31:A32"/>
    <mergeCell ref="F1:F2"/>
    <mergeCell ref="A49:A50"/>
    <mergeCell ref="H1:H2"/>
    <mergeCell ref="A11:A1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30.45" customWidth="1" min="10" max="10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Cubicle</t>
        </is>
      </c>
      <c r="E1" s="1" t="inlineStr">
        <is>
          <t xml:space="preserve">Pedal Bins </t>
        </is>
      </c>
      <c r="F1" s="1" t="inlineStr">
        <is>
          <t>Urinals</t>
        </is>
      </c>
      <c r="G1" s="1" t="inlineStr">
        <is>
          <t>Wash basin</t>
        </is>
      </c>
      <c r="H1" s="1" t="inlineStr">
        <is>
          <t xml:space="preserve">Toilet Roll Dispenser </t>
        </is>
      </c>
      <c r="I1" s="1" t="inlineStr">
        <is>
          <t xml:space="preserve">Tissue Dispensers </t>
        </is>
      </c>
      <c r="J1" s="1" t="inlineStr">
        <is>
          <t>Remarks</t>
        </is>
      </c>
    </row>
    <row r="2" ht="44.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3.65" customHeight="1">
      <c r="A3" s="2" t="inlineStr">
        <is>
          <t xml:space="preserve">LG Food court Staff washroom </t>
        </is>
      </c>
      <c r="B3" s="2" t="n">
        <v>1</v>
      </c>
      <c r="C3" s="2" t="inlineStr">
        <is>
          <t>Male WR</t>
        </is>
      </c>
      <c r="D3" s="2" t="n">
        <v>3</v>
      </c>
      <c r="E3" s="2" t="n">
        <v>3</v>
      </c>
      <c r="F3" s="2" t="n">
        <v>3</v>
      </c>
      <c r="G3" s="2" t="n">
        <v>3</v>
      </c>
      <c r="H3" s="2" t="n">
        <v>3</v>
      </c>
      <c r="I3" s="2" t="inlineStr">
        <is>
          <t xml:space="preserve">tissue dispenser not required </t>
        </is>
      </c>
      <c r="J3" s="2" t="n"/>
    </row>
    <row r="4" ht="33.65" customHeight="1">
      <c r="A4" s="3" t="n"/>
      <c r="B4" s="2" t="n">
        <v>2</v>
      </c>
      <c r="C4" s="2" t="inlineStr">
        <is>
          <t>Female WR</t>
        </is>
      </c>
      <c r="D4" s="2" t="n">
        <v>3</v>
      </c>
      <c r="E4" s="2" t="n">
        <v>3</v>
      </c>
      <c r="F4" s="2" t="n">
        <v>0</v>
      </c>
      <c r="G4" s="2" t="n">
        <v>3</v>
      </c>
      <c r="H4" s="2" t="n">
        <v>3</v>
      </c>
      <c r="I4" s="2" t="n"/>
      <c r="J4" s="2" t="n"/>
    </row>
    <row r="5" ht="33.65" customHeight="1">
      <c r="A5" s="2" t="inlineStr">
        <is>
          <t xml:space="preserve">SF Food Court Macdonald </t>
        </is>
      </c>
      <c r="B5" s="2" t="n">
        <v>1</v>
      </c>
      <c r="C5" s="2" t="inlineStr">
        <is>
          <t>Male WR</t>
        </is>
      </c>
      <c r="D5" s="2" t="n">
        <v>2</v>
      </c>
      <c r="E5" s="2" t="n">
        <v>2</v>
      </c>
      <c r="F5" s="2" t="n">
        <v>4</v>
      </c>
      <c r="G5" s="2" t="n">
        <v>4</v>
      </c>
      <c r="H5" s="2" t="n">
        <v>2</v>
      </c>
      <c r="I5" s="2" t="n"/>
      <c r="J5" s="2" t="n"/>
    </row>
    <row r="6" ht="33.65" customHeight="1">
      <c r="A6" s="3" t="n"/>
      <c r="B6" s="2" t="n">
        <v>2</v>
      </c>
      <c r="C6" s="2" t="inlineStr">
        <is>
          <t>Female WR</t>
        </is>
      </c>
      <c r="D6" s="2" t="n">
        <v>4</v>
      </c>
      <c r="E6" s="2" t="n">
        <v>4</v>
      </c>
      <c r="F6" s="2" t="n">
        <v>0</v>
      </c>
      <c r="G6" s="2" t="n">
        <v>4</v>
      </c>
      <c r="H6" s="2" t="n">
        <v>4</v>
      </c>
      <c r="I6" s="2" t="n"/>
      <c r="J6" s="2" t="n"/>
    </row>
    <row r="7" ht="33.65" customHeight="1">
      <c r="A7" s="2" t="inlineStr">
        <is>
          <t>SF Food Court Burger King</t>
        </is>
      </c>
      <c r="B7" s="2" t="n">
        <v>1</v>
      </c>
      <c r="C7" s="2" t="inlineStr">
        <is>
          <t>Male WR</t>
        </is>
      </c>
      <c r="D7" s="2" t="n">
        <v>3</v>
      </c>
      <c r="E7" s="2" t="n">
        <v>3</v>
      </c>
      <c r="F7" s="2" t="n">
        <v>5</v>
      </c>
      <c r="G7" s="2" t="n">
        <v>3</v>
      </c>
      <c r="H7" s="2" t="n">
        <v>3</v>
      </c>
      <c r="I7" s="2" t="n"/>
      <c r="J7" s="2" t="n"/>
    </row>
    <row r="8" ht="33.65" customHeight="1">
      <c r="A8" s="3" t="n"/>
      <c r="B8" s="2" t="n">
        <v>2</v>
      </c>
      <c r="C8" s="2" t="inlineStr">
        <is>
          <t>Female WR</t>
        </is>
      </c>
      <c r="D8" s="2" t="n">
        <v>3</v>
      </c>
      <c r="E8" s="2" t="n">
        <v>3</v>
      </c>
      <c r="F8" s="2" t="n">
        <v>0</v>
      </c>
      <c r="G8" s="2" t="n">
        <v>3</v>
      </c>
      <c r="H8" s="2" t="n">
        <v>3</v>
      </c>
      <c r="I8" s="2" t="n"/>
      <c r="J8" s="2" t="n"/>
    </row>
    <row r="9" ht="33.65" customHeight="1">
      <c r="A9" s="2" t="inlineStr">
        <is>
          <t xml:space="preserve">GF Souk Staff Washroom </t>
        </is>
      </c>
      <c r="B9" s="2" t="n">
        <v>1</v>
      </c>
      <c r="C9" s="2" t="inlineStr">
        <is>
          <t>Male WR</t>
        </is>
      </c>
      <c r="D9" s="2" t="n">
        <v>3</v>
      </c>
      <c r="E9" s="2" t="n">
        <v>3</v>
      </c>
      <c r="F9" s="2" t="n">
        <v>2</v>
      </c>
      <c r="G9" s="2" t="n">
        <v>3</v>
      </c>
      <c r="H9" s="2" t="n">
        <v>3</v>
      </c>
      <c r="I9" s="2" t="n"/>
      <c r="J9" s="2" t="n"/>
    </row>
    <row r="10" ht="33.65" customHeight="1">
      <c r="A10" s="3" t="n"/>
      <c r="B10" s="2" t="n">
        <v>2</v>
      </c>
      <c r="C10" s="2" t="inlineStr">
        <is>
          <t>Female WR</t>
        </is>
      </c>
      <c r="D10" s="2" t="n">
        <v>3</v>
      </c>
      <c r="E10" s="2" t="n">
        <v>3</v>
      </c>
      <c r="F10" s="2" t="n">
        <v>0</v>
      </c>
      <c r="G10" s="2" t="n">
        <v>4</v>
      </c>
      <c r="H10" s="2" t="n">
        <v>3</v>
      </c>
      <c r="I10" s="2" t="n"/>
      <c r="J10" s="2" t="n"/>
    </row>
    <row r="11" ht="33.65" customHeight="1">
      <c r="A11" s="2" t="inlineStr">
        <is>
          <t xml:space="preserve">LB-3 Staff washroom Waitrose </t>
        </is>
      </c>
      <c r="B11" s="2" t="n">
        <v>1</v>
      </c>
      <c r="C11" s="2" t="inlineStr">
        <is>
          <t>Male WR</t>
        </is>
      </c>
      <c r="D11" s="2" t="n">
        <v>2</v>
      </c>
      <c r="E11" s="2" t="n">
        <v>2</v>
      </c>
      <c r="F11" s="2" t="n">
        <v>4</v>
      </c>
      <c r="G11" s="2" t="n">
        <v>3</v>
      </c>
      <c r="H11" s="2" t="n">
        <v>2</v>
      </c>
      <c r="I11" s="2" t="n"/>
      <c r="J11" s="2" t="n"/>
    </row>
    <row r="12" ht="33.65" customHeight="1">
      <c r="A12" s="3" t="n"/>
      <c r="B12" s="2" t="n">
        <v>2</v>
      </c>
      <c r="C12" s="2" t="inlineStr">
        <is>
          <t>Female WR</t>
        </is>
      </c>
      <c r="D12" s="2" t="n">
        <v>3</v>
      </c>
      <c r="E12" s="2" t="n">
        <v>3</v>
      </c>
      <c r="F12" s="2" t="n">
        <v>0</v>
      </c>
      <c r="G12" s="2" t="n">
        <v>3</v>
      </c>
      <c r="H12" s="2" t="n">
        <v>3</v>
      </c>
      <c r="I12" s="2" t="n"/>
      <c r="J12" s="2" t="n"/>
    </row>
    <row r="13" ht="33.65" customHeight="1">
      <c r="A13" s="2" t="inlineStr">
        <is>
          <t>LB-3 Staff washroom Riser 19</t>
        </is>
      </c>
      <c r="B13" s="2" t="n">
        <v>1</v>
      </c>
      <c r="C13" s="2" t="inlineStr">
        <is>
          <t>Male WR</t>
        </is>
      </c>
      <c r="D13" s="2" t="n">
        <v>4</v>
      </c>
      <c r="E13" s="2" t="n">
        <v>4</v>
      </c>
      <c r="F13" s="2" t="n">
        <v>4</v>
      </c>
      <c r="G13" s="2" t="n">
        <v>4</v>
      </c>
      <c r="H13" s="2" t="n">
        <v>4</v>
      </c>
      <c r="I13" s="2" t="n"/>
      <c r="J13" s="2" t="n"/>
    </row>
    <row r="14" ht="33.65" customHeight="1">
      <c r="A14" s="4" t="inlineStr">
        <is>
          <t xml:space="preserve">Total </t>
        </is>
      </c>
      <c r="B14" s="5" t="n"/>
      <c r="C14" s="6" t="inlineStr">
        <is>
          <t>Male WR</t>
        </is>
      </c>
      <c r="D14" s="6">
        <f>(D3+D5+D7+D9+D11+D13)</f>
        <v/>
      </c>
      <c r="E14" s="6">
        <f>(E3+E5+E7+E9+E11+E13)</f>
        <v/>
      </c>
      <c r="F14" s="6">
        <f>(F3+F5+F7+F9+F11+F13)</f>
        <v/>
      </c>
      <c r="G14" s="6">
        <f>(G3+G5+G7+G9+G11+G13)</f>
        <v/>
      </c>
      <c r="H14" s="6">
        <f>(H3+H5+H7+H9+H11+H13)</f>
        <v/>
      </c>
      <c r="I14" s="6" t="n"/>
      <c r="J14" s="6" t="n"/>
    </row>
    <row r="15" ht="33.65" customHeight="1">
      <c r="A15" s="4" t="n"/>
      <c r="B15" s="5" t="n"/>
      <c r="C15" s="6" t="inlineStr">
        <is>
          <t>Female WR</t>
        </is>
      </c>
      <c r="D15" s="6">
        <f>SUM(D4+D6+D8+D10+D12)</f>
        <v/>
      </c>
      <c r="E15" s="6">
        <f>SUM(E4+E6+E8+E10+E12)</f>
        <v/>
      </c>
      <c r="F15" s="6">
        <f>SUM(F4+F6+F8+F10+F12)</f>
        <v/>
      </c>
      <c r="G15" s="6">
        <f>SUM(G4+G6+G8+G10+G12)</f>
        <v/>
      </c>
      <c r="H15" s="6">
        <f>SUM(H4+H6+H8+H10+H12)</f>
        <v/>
      </c>
      <c r="I15" s="6" t="n"/>
      <c r="J15" s="6" t="n"/>
    </row>
    <row r="16" ht="33.65" customHeight="1">
      <c r="A16" s="4" t="inlineStr">
        <is>
          <t xml:space="preserve">Sub total </t>
        </is>
      </c>
      <c r="B16" s="5" t="n"/>
      <c r="C16" s="6">
        <f>COUNTA(C3:C15)</f>
        <v/>
      </c>
      <c r="D16" s="6">
        <f>SUM(D14+D15)</f>
        <v/>
      </c>
      <c r="E16" s="6">
        <f>SUM(E14+E15)</f>
        <v/>
      </c>
      <c r="F16" s="6">
        <f>SUM(F14+F15)</f>
        <v/>
      </c>
      <c r="G16" s="6">
        <f>SUM(G14+G15)</f>
        <v/>
      </c>
      <c r="H16" s="6">
        <f>SUM(H14+H15)</f>
        <v/>
      </c>
      <c r="I16" s="6" t="n"/>
      <c r="J16" s="6" t="n"/>
    </row>
  </sheetData>
  <mergeCells count="18">
    <mergeCell ref="A5:A6"/>
    <mergeCell ref="I1:I2"/>
    <mergeCell ref="A16:B16"/>
    <mergeCell ref="A15:B15"/>
    <mergeCell ref="A9:A10"/>
    <mergeCell ref="A3:A4"/>
    <mergeCell ref="A7:A8"/>
    <mergeCell ref="C1:C2"/>
    <mergeCell ref="B1:B2"/>
    <mergeCell ref="D1:D2"/>
    <mergeCell ref="E1:E2"/>
    <mergeCell ref="F1:F2"/>
    <mergeCell ref="G1:G2"/>
    <mergeCell ref="A14:B14"/>
    <mergeCell ref="J1:J2"/>
    <mergeCell ref="H1:H2"/>
    <mergeCell ref="A11:A1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Location</t>
        </is>
      </c>
      <c r="D1" s="1" t="inlineStr">
        <is>
          <t>Urinal</t>
        </is>
      </c>
      <c r="E1" s="1" t="inlineStr">
        <is>
          <t>Cubicle</t>
        </is>
      </c>
      <c r="F1" s="1" t="inlineStr">
        <is>
          <t xml:space="preserve">Pedal Bins </t>
        </is>
      </c>
      <c r="G1" s="1" t="inlineStr">
        <is>
          <t xml:space="preserve">Toilet Roll dispenser </t>
        </is>
      </c>
      <c r="H1" s="1" t="inlineStr">
        <is>
          <t>Wash basin</t>
        </is>
      </c>
      <c r="I1" s="1" t="inlineStr">
        <is>
          <t>Remarks</t>
        </is>
      </c>
    </row>
    <row r="2" ht="44.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33.65" customHeight="1">
      <c r="A3" s="2" t="inlineStr">
        <is>
          <t>LG</t>
        </is>
      </c>
      <c r="B3" s="2" t="n">
        <v>1158</v>
      </c>
      <c r="C3" s="2" t="inlineStr">
        <is>
          <t>LG GP Row D</t>
        </is>
      </c>
      <c r="D3" s="2" t="n">
        <v>0</v>
      </c>
      <c r="E3" s="2" t="n">
        <v>3</v>
      </c>
      <c r="F3" s="2" t="n">
        <v>3</v>
      </c>
      <c r="G3" s="2" t="n">
        <v>3</v>
      </c>
      <c r="H3" s="2" t="n">
        <v>2</v>
      </c>
      <c r="I3" s="2" t="inlineStr">
        <is>
          <t xml:space="preserve">under project </t>
        </is>
      </c>
    </row>
    <row r="4" ht="33.65" customHeight="1">
      <c r="A4" s="7" t="n"/>
      <c r="B4" s="2" t="n">
        <v>1161</v>
      </c>
      <c r="C4" s="2" t="inlineStr">
        <is>
          <t>LG GP Row F</t>
        </is>
      </c>
      <c r="D4" s="2" t="n">
        <v>0</v>
      </c>
      <c r="E4" s="2" t="n">
        <v>3</v>
      </c>
      <c r="F4" s="2" t="n">
        <v>3</v>
      </c>
      <c r="G4" s="2" t="n">
        <v>3</v>
      </c>
      <c r="H4" s="2" t="n">
        <v>2</v>
      </c>
      <c r="I4" s="2" t="n"/>
    </row>
    <row r="5" ht="33.65" customHeight="1">
      <c r="A5" s="7" t="n"/>
      <c r="B5" s="2" t="n">
        <v>1162</v>
      </c>
      <c r="C5" s="2" t="inlineStr">
        <is>
          <t>LG GP Row Traffic Row S</t>
        </is>
      </c>
      <c r="D5" s="2" t="n">
        <v>0</v>
      </c>
      <c r="E5" s="2" t="n">
        <v>3</v>
      </c>
      <c r="F5" s="2" t="n">
        <v>3</v>
      </c>
      <c r="G5" s="2" t="n">
        <v>3</v>
      </c>
      <c r="H5" s="2" t="n">
        <v>2</v>
      </c>
      <c r="I5" s="2" t="n"/>
    </row>
    <row r="6" ht="33.65" customHeight="1">
      <c r="A6" s="3" t="n"/>
      <c r="B6" s="2" t="n">
        <v>1165</v>
      </c>
      <c r="C6" s="2" t="inlineStr">
        <is>
          <t xml:space="preserve">LG GP Emaar traffic office   </t>
        </is>
      </c>
      <c r="D6" s="2" t="n">
        <v>0</v>
      </c>
      <c r="E6" s="2" t="n">
        <v>3</v>
      </c>
      <c r="F6" s="2" t="n">
        <v>3</v>
      </c>
      <c r="G6" s="2" t="n">
        <v>3</v>
      </c>
      <c r="H6" s="2" t="n">
        <v>2</v>
      </c>
      <c r="I6" s="2" t="n"/>
    </row>
    <row r="7" ht="33.65" customHeight="1">
      <c r="A7" s="2" t="inlineStr">
        <is>
          <t>LGM</t>
        </is>
      </c>
      <c r="B7" s="2" t="n">
        <v>1162</v>
      </c>
      <c r="C7" s="2" t="inlineStr">
        <is>
          <t xml:space="preserve">LGM GP Police office </t>
        </is>
      </c>
      <c r="D7" s="2" t="n">
        <v>0</v>
      </c>
      <c r="E7" s="2" t="n">
        <v>3</v>
      </c>
      <c r="F7" s="2" t="n">
        <v>3</v>
      </c>
      <c r="G7" s="2" t="n">
        <v>3</v>
      </c>
      <c r="H7" s="2" t="n">
        <v>2</v>
      </c>
      <c r="I7" s="2" t="n"/>
    </row>
    <row r="8" ht="33.65" customHeight="1">
      <c r="A8" s="7" t="n"/>
      <c r="B8" s="2" t="n">
        <v>1165</v>
      </c>
      <c r="C8" s="2" t="inlineStr">
        <is>
          <t xml:space="preserve">LGM GP CID office </t>
        </is>
      </c>
      <c r="D8" s="2" t="n">
        <v>0</v>
      </c>
      <c r="E8" s="2" t="n">
        <v>3</v>
      </c>
      <c r="F8" s="2" t="n">
        <v>3</v>
      </c>
      <c r="G8" s="2" t="n">
        <v>3</v>
      </c>
      <c r="H8" s="2" t="n">
        <v>2</v>
      </c>
      <c r="I8" s="2" t="n"/>
    </row>
    <row r="9" ht="33.65" customHeight="1">
      <c r="A9" s="7" t="n"/>
      <c r="B9" s="2" t="n">
        <v>1161</v>
      </c>
      <c r="C9" s="2" t="inlineStr">
        <is>
          <t xml:space="preserve">LGM GP Valet office Row D  </t>
        </is>
      </c>
      <c r="D9" s="2" t="n">
        <v>0</v>
      </c>
      <c r="E9" s="2" t="n">
        <v>3</v>
      </c>
      <c r="F9" s="2" t="n">
        <v>3</v>
      </c>
      <c r="G9" s="2" t="n">
        <v>3</v>
      </c>
      <c r="H9" s="2" t="n">
        <v>2</v>
      </c>
      <c r="I9" s="2" t="n"/>
    </row>
    <row r="10" ht="33.65" customHeight="1">
      <c r="A10" s="3" t="n"/>
      <c r="B10" s="2" t="n">
        <v>1158</v>
      </c>
      <c r="C10" s="2" t="inlineStr">
        <is>
          <t>LGM GP Valet office Row F</t>
        </is>
      </c>
      <c r="D10" s="2" t="n">
        <v>0</v>
      </c>
      <c r="E10" s="2" t="n">
        <v>3</v>
      </c>
      <c r="F10" s="2" t="n">
        <v>3</v>
      </c>
      <c r="G10" s="2" t="n">
        <v>3</v>
      </c>
      <c r="H10" s="2" t="n">
        <v>2</v>
      </c>
      <c r="I10" s="2" t="n"/>
    </row>
    <row r="11" ht="33.65" customHeight="1">
      <c r="A11" s="2" t="inlineStr">
        <is>
          <t>LG</t>
        </is>
      </c>
      <c r="B11" s="2" t="n">
        <v>380</v>
      </c>
      <c r="C11" s="2" t="inlineStr">
        <is>
          <t xml:space="preserve">Police station </t>
        </is>
      </c>
      <c r="D11" s="2" t="n">
        <v>0</v>
      </c>
      <c r="E11" s="2" t="n">
        <v>1</v>
      </c>
      <c r="F11" s="2" t="n">
        <v>1</v>
      </c>
      <c r="G11" s="2" t="n">
        <v>1</v>
      </c>
      <c r="H11" s="2" t="n">
        <v>1</v>
      </c>
      <c r="I11" s="2" t="n"/>
    </row>
    <row r="12" ht="33.65" customHeight="1">
      <c r="A12" s="2" t="inlineStr">
        <is>
          <t>L3</t>
        </is>
      </c>
      <c r="B12" s="2" t="n">
        <v>1167</v>
      </c>
      <c r="C12" s="2" t="inlineStr">
        <is>
          <t xml:space="preserve">L3 FP Valet office </t>
        </is>
      </c>
      <c r="D12" s="2" t="n">
        <v>0</v>
      </c>
      <c r="E12" s="2" t="n">
        <v>2</v>
      </c>
      <c r="F12" s="2" t="n">
        <v>2</v>
      </c>
      <c r="G12" s="2" t="n">
        <v>2</v>
      </c>
      <c r="H12" s="2" t="n">
        <v>2</v>
      </c>
      <c r="I12" s="2" t="n"/>
    </row>
    <row r="13" ht="33.65" customHeight="1">
      <c r="A13" s="3" t="n"/>
      <c r="B13" s="2" t="n">
        <v>1214</v>
      </c>
      <c r="C13" s="2" t="inlineStr">
        <is>
          <t>L3 CP Ahamed Balochi Office</t>
        </is>
      </c>
      <c r="D13" s="2" t="n"/>
      <c r="E13" s="2" t="n">
        <v>1</v>
      </c>
      <c r="F13" s="2" t="n">
        <v>1</v>
      </c>
      <c r="G13" s="2" t="n">
        <v>1</v>
      </c>
      <c r="H13" s="2" t="n">
        <v>2</v>
      </c>
      <c r="I13" s="2" t="n"/>
    </row>
    <row r="14" ht="33.65" customHeight="1">
      <c r="A14" s="2" t="inlineStr">
        <is>
          <t>LB1</t>
        </is>
      </c>
      <c r="B14" s="2" t="n"/>
      <c r="C14" s="2" t="inlineStr">
        <is>
          <t xml:space="preserve">LG BMS Office </t>
        </is>
      </c>
      <c r="D14" s="2" t="n">
        <v>0</v>
      </c>
      <c r="E14" s="2" t="n">
        <v>1</v>
      </c>
      <c r="F14" s="2" t="n">
        <v>1</v>
      </c>
      <c r="G14" s="2" t="n">
        <v>1</v>
      </c>
      <c r="H14" s="2" t="n">
        <v>1</v>
      </c>
      <c r="I14" s="2" t="n"/>
    </row>
    <row r="15" ht="33.65" customHeight="1">
      <c r="A15" s="7" t="n"/>
      <c r="B15" s="2" t="n">
        <v>1156</v>
      </c>
      <c r="C15" s="2" t="inlineStr">
        <is>
          <t>LG 1156 BMS -LB1</t>
        </is>
      </c>
      <c r="D15" s="2" t="n">
        <v>0</v>
      </c>
      <c r="E15" s="2" t="n">
        <v>1</v>
      </c>
      <c r="F15" s="2" t="n">
        <v>1</v>
      </c>
      <c r="G15" s="2" t="n">
        <v>1</v>
      </c>
      <c r="H15" s="2" t="n">
        <v>2</v>
      </c>
      <c r="I15" s="2" t="n"/>
    </row>
    <row r="16" ht="33.65" customHeight="1">
      <c r="A16" s="7" t="n"/>
      <c r="B16" s="2" t="n">
        <v>1138</v>
      </c>
      <c r="C16" s="2" t="inlineStr">
        <is>
          <t>LG 1138 Aquarium-LB1</t>
        </is>
      </c>
      <c r="D16" s="2" t="n">
        <v>0</v>
      </c>
      <c r="E16" s="2" t="n">
        <v>1</v>
      </c>
      <c r="F16" s="2" t="n">
        <v>1</v>
      </c>
      <c r="G16" s="2" t="n">
        <v>1</v>
      </c>
      <c r="H16" s="2" t="n">
        <v>2</v>
      </c>
      <c r="I16" s="2" t="n"/>
    </row>
    <row r="17" ht="33.65" customHeight="1">
      <c r="A17" s="7" t="n"/>
      <c r="B17" s="2" t="n">
        <v>1108</v>
      </c>
      <c r="C17" s="2" t="inlineStr">
        <is>
          <t>LG 1108 The Souk-LB1</t>
        </is>
      </c>
      <c r="D17" s="2" t="n">
        <v>0</v>
      </c>
      <c r="E17" s="2" t="n">
        <v>1</v>
      </c>
      <c r="F17" s="2" t="n">
        <v>1</v>
      </c>
      <c r="G17" s="2" t="n">
        <v>1</v>
      </c>
      <c r="H17" s="2" t="n">
        <v>2</v>
      </c>
      <c r="I17" s="2" t="n"/>
    </row>
    <row r="18" ht="33.65" customHeight="1">
      <c r="A18" s="3" t="n"/>
      <c r="B18" s="2" t="n">
        <v>1166</v>
      </c>
      <c r="C18" s="2" t="inlineStr">
        <is>
          <t>LG 1166 SCR -LB1</t>
        </is>
      </c>
      <c r="D18" s="2" t="n">
        <v>0</v>
      </c>
      <c r="E18" s="2" t="n">
        <v>1</v>
      </c>
      <c r="F18" s="2" t="n">
        <v>1</v>
      </c>
      <c r="G18" s="2" t="n">
        <v>1</v>
      </c>
      <c r="H18" s="2" t="n">
        <v>1</v>
      </c>
      <c r="I18" s="2" t="n"/>
    </row>
    <row r="19" ht="33.65" customHeight="1">
      <c r="A19" s="2" t="inlineStr">
        <is>
          <t>LB2</t>
        </is>
      </c>
      <c r="B19" s="2" t="n">
        <v>1115</v>
      </c>
      <c r="C19" s="2" t="inlineStr">
        <is>
          <t>LG 1115 Near Green room LB-2</t>
        </is>
      </c>
      <c r="D19" s="2" t="n">
        <v>0</v>
      </c>
      <c r="E19" s="2" t="n">
        <v>1</v>
      </c>
      <c r="F19" s="2" t="n">
        <v>1</v>
      </c>
      <c r="G19" s="2" t="n">
        <v>1</v>
      </c>
      <c r="H19" s="2" t="n">
        <v>2</v>
      </c>
      <c r="I19" s="2" t="n"/>
    </row>
    <row r="20" ht="33.65" customHeight="1">
      <c r="A20" s="3" t="n"/>
      <c r="B20" s="2" t="n">
        <v>1116</v>
      </c>
      <c r="C20" s="2" t="inlineStr">
        <is>
          <t>LG 1116 Food Court LB-2</t>
        </is>
      </c>
      <c r="D20" s="2" t="n">
        <v>0</v>
      </c>
      <c r="E20" s="2" t="n">
        <v>1</v>
      </c>
      <c r="F20" s="2" t="n">
        <v>1</v>
      </c>
      <c r="G20" s="2" t="n">
        <v>1</v>
      </c>
      <c r="H20" s="2" t="n">
        <v>1</v>
      </c>
      <c r="I20" s="2" t="n"/>
    </row>
    <row r="21" ht="33.65" customHeight="1">
      <c r="A21" s="2" t="inlineStr">
        <is>
          <t>LB3</t>
        </is>
      </c>
      <c r="B21" s="2" t="n">
        <v>1175</v>
      </c>
      <c r="C21" s="2" t="inlineStr">
        <is>
          <t>LG 1175 TG Store LB-3</t>
        </is>
      </c>
      <c r="D21" s="2" t="n">
        <v>0</v>
      </c>
      <c r="E21" s="2" t="n">
        <v>1</v>
      </c>
      <c r="F21" s="2" t="n">
        <v>1</v>
      </c>
      <c r="G21" s="2" t="n">
        <v>1</v>
      </c>
      <c r="H21" s="2" t="n">
        <v>1</v>
      </c>
      <c r="I21" s="2" t="n"/>
    </row>
    <row r="22" ht="33.65" customHeight="1">
      <c r="A22" s="3" t="n"/>
      <c r="B22" s="2" t="n">
        <v>1178</v>
      </c>
      <c r="C22" s="2" t="inlineStr">
        <is>
          <t>LG 1178 Café Italy LB-3</t>
        </is>
      </c>
      <c r="D22" s="2" t="n">
        <v>0</v>
      </c>
      <c r="E22" s="2" t="n">
        <v>2</v>
      </c>
      <c r="F22" s="2" t="n">
        <v>2</v>
      </c>
      <c r="G22" s="2" t="n">
        <v>2</v>
      </c>
      <c r="H22" s="2" t="n">
        <v>2</v>
      </c>
      <c r="I22" s="2" t="n"/>
    </row>
    <row r="23" ht="33.65" customHeight="1">
      <c r="A23" s="2" t="inlineStr">
        <is>
          <t>Taxi</t>
        </is>
      </c>
      <c r="B23" s="2" t="n"/>
      <c r="C23" s="2" t="inlineStr">
        <is>
          <t>Driver/contractor</t>
        </is>
      </c>
      <c r="D23" s="2" t="n">
        <v>3</v>
      </c>
      <c r="E23" s="2" t="n">
        <v>3</v>
      </c>
      <c r="F23" s="2" t="n">
        <v>3</v>
      </c>
      <c r="G23" s="2" t="n">
        <v>3</v>
      </c>
      <c r="H23" s="2" t="n">
        <v>3</v>
      </c>
      <c r="I23" s="2" t="n"/>
    </row>
    <row r="24" ht="33.65" customHeight="1">
      <c r="A24" s="2" t="inlineStr">
        <is>
          <t>LB1</t>
        </is>
      </c>
      <c r="B24" s="2" t="n"/>
      <c r="C24" s="2" t="inlineStr">
        <is>
          <t>FIRE OFFICE</t>
        </is>
      </c>
      <c r="D24" s="2" t="n">
        <v>1</v>
      </c>
      <c r="E24" s="2" t="n">
        <v>1</v>
      </c>
      <c r="F24" s="2" t="n">
        <v>1</v>
      </c>
      <c r="G24" s="2" t="n">
        <v>1</v>
      </c>
      <c r="H24" s="2" t="n">
        <v>1</v>
      </c>
      <c r="I24" s="2" t="n"/>
    </row>
    <row r="25" ht="33.65" customHeight="1">
      <c r="A25" s="4" t="inlineStr">
        <is>
          <t xml:space="preserve">TOTAL </t>
        </is>
      </c>
      <c r="B25" s="5" t="n"/>
      <c r="C25" s="6" t="n"/>
      <c r="D25" s="6">
        <f>SUM(D3:D24)</f>
        <v/>
      </c>
      <c r="E25" s="6">
        <f>SUM(E3:E24)</f>
        <v/>
      </c>
      <c r="F25" s="6">
        <f>SUM(F3:F24)</f>
        <v/>
      </c>
      <c r="G25" s="6">
        <f>SUM(G3:G24)</f>
        <v/>
      </c>
      <c r="H25" s="6">
        <f>SUM(H3:H24)</f>
        <v/>
      </c>
      <c r="I25" s="6" t="n"/>
    </row>
  </sheetData>
  <mergeCells count="16">
    <mergeCell ref="I1:I2"/>
    <mergeCell ref="A19:A20"/>
    <mergeCell ref="A25:B25"/>
    <mergeCell ref="A7:A10"/>
    <mergeCell ref="A12:A13"/>
    <mergeCell ref="A3:A6"/>
    <mergeCell ref="C1:C2"/>
    <mergeCell ref="B1:B2"/>
    <mergeCell ref="D1:D2"/>
    <mergeCell ref="E1:E2"/>
    <mergeCell ref="F1:F2"/>
    <mergeCell ref="G1:G2"/>
    <mergeCell ref="A14:A18"/>
    <mergeCell ref="H1:H2"/>
    <mergeCell ref="A21:A2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30.45" customWidth="1" min="8" max="8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Cubicle</t>
        </is>
      </c>
      <c r="E1" s="1" t="inlineStr">
        <is>
          <t xml:space="preserve">Pedal Bins </t>
        </is>
      </c>
      <c r="F1" s="8" t="inlineStr">
        <is>
          <t>Urinal</t>
        </is>
      </c>
      <c r="G1" s="1" t="inlineStr">
        <is>
          <t>Wash basin</t>
        </is>
      </c>
      <c r="H1" s="1" t="inlineStr">
        <is>
          <t>Remarks</t>
        </is>
      </c>
    </row>
    <row r="2" ht="107.5" customHeight="1">
      <c r="A2" s="1" t="n"/>
      <c r="B2" s="1" t="n"/>
      <c r="C2" s="1" t="n"/>
      <c r="D2" s="1" t="n"/>
      <c r="E2" s="1" t="n"/>
      <c r="F2" s="9" t="n"/>
      <c r="G2" s="1" t="n"/>
      <c r="H2" s="1" t="n"/>
    </row>
    <row r="3" ht="33.65" customHeight="1">
      <c r="A3" s="2" t="inlineStr">
        <is>
          <t xml:space="preserve">LGM food court </t>
        </is>
      </c>
      <c r="B3" s="2" t="n">
        <v>1</v>
      </c>
      <c r="C3" s="2" t="inlineStr">
        <is>
          <t>Male WR</t>
        </is>
      </c>
      <c r="D3" s="2" t="n">
        <v>18</v>
      </c>
      <c r="E3" s="2" t="n">
        <v>18</v>
      </c>
      <c r="F3" s="2" t="n">
        <v>12</v>
      </c>
      <c r="G3" s="2" t="n">
        <v>12</v>
      </c>
      <c r="H3" s="2" t="n"/>
    </row>
    <row r="4" ht="33.65" customHeight="1">
      <c r="A4" s="3" t="n"/>
      <c r="B4" s="2" t="n">
        <v>2</v>
      </c>
      <c r="C4" s="2" t="inlineStr">
        <is>
          <t>Female WR</t>
        </is>
      </c>
      <c r="D4" s="2" t="n">
        <v>22</v>
      </c>
      <c r="E4" s="2" t="n">
        <v>22</v>
      </c>
      <c r="F4" s="2" t="n">
        <v>0</v>
      </c>
      <c r="G4" s="2" t="n">
        <v>12</v>
      </c>
      <c r="H4" s="2" t="n"/>
    </row>
    <row r="5" ht="33.65" customHeight="1">
      <c r="A5" s="2" t="inlineStr">
        <is>
          <t xml:space="preserve">FA GF </t>
        </is>
      </c>
      <c r="B5" s="2" t="n">
        <v>1</v>
      </c>
      <c r="C5" s="2" t="inlineStr">
        <is>
          <t>Male WR</t>
        </is>
      </c>
      <c r="D5" s="2" t="n">
        <v>8</v>
      </c>
      <c r="E5" s="2" t="n">
        <v>8</v>
      </c>
      <c r="F5" s="2" t="n">
        <v>7</v>
      </c>
      <c r="G5" s="2" t="n">
        <v>7</v>
      </c>
      <c r="H5" s="2" t="n"/>
    </row>
    <row r="6" ht="33.65" customHeight="1">
      <c r="A6" s="3" t="n"/>
      <c r="B6" s="2" t="n">
        <v>2</v>
      </c>
      <c r="C6" s="2" t="inlineStr">
        <is>
          <t>Female WR</t>
        </is>
      </c>
      <c r="D6" s="2" t="n">
        <v>10</v>
      </c>
      <c r="E6" s="2" t="n">
        <v>10</v>
      </c>
      <c r="F6" s="2" t="n">
        <v>0</v>
      </c>
      <c r="G6" s="2" t="n">
        <v>11</v>
      </c>
      <c r="H6" s="2" t="n"/>
    </row>
    <row r="7" ht="33.65" customHeight="1">
      <c r="A7" s="2" t="inlineStr">
        <is>
          <t xml:space="preserve">Boulevard level </t>
        </is>
      </c>
      <c r="B7" s="2" t="n">
        <v>1</v>
      </c>
      <c r="C7" s="2" t="inlineStr">
        <is>
          <t>Male WR</t>
        </is>
      </c>
      <c r="D7" s="2" t="n">
        <v>5</v>
      </c>
      <c r="E7" s="2" t="n">
        <v>5</v>
      </c>
      <c r="F7" s="2" t="n">
        <v>6</v>
      </c>
      <c r="G7" s="2" t="n">
        <v>11</v>
      </c>
      <c r="H7" s="2" t="n"/>
    </row>
    <row r="8" ht="33.65" customHeight="1">
      <c r="A8" s="3" t="n"/>
      <c r="B8" s="2" t="n">
        <v>2</v>
      </c>
      <c r="C8" s="2" t="inlineStr">
        <is>
          <t>Female WR</t>
        </is>
      </c>
      <c r="D8" s="2" t="n">
        <v>5</v>
      </c>
      <c r="E8" s="2" t="n">
        <v>5</v>
      </c>
      <c r="F8" s="2" t="n">
        <v>0</v>
      </c>
      <c r="G8" s="2" t="n">
        <v>10</v>
      </c>
      <c r="H8" s="2" t="n"/>
    </row>
    <row r="9" ht="33.65" customHeight="1">
      <c r="A9" s="2" t="inlineStr">
        <is>
          <t>Level G VIP</t>
        </is>
      </c>
      <c r="B9" s="2" t="n">
        <v>1</v>
      </c>
      <c r="C9" s="2" t="inlineStr">
        <is>
          <t>Male WR</t>
        </is>
      </c>
      <c r="D9" s="2" t="n">
        <v>11</v>
      </c>
      <c r="E9" s="2" t="n">
        <v>11</v>
      </c>
      <c r="F9" s="2" t="n">
        <v>10</v>
      </c>
      <c r="G9" s="2" t="n">
        <v>17</v>
      </c>
      <c r="H9" s="2" t="n"/>
    </row>
    <row r="10" ht="33.65" customHeight="1">
      <c r="A10" s="3" t="n"/>
      <c r="B10" s="2" t="n">
        <v>2</v>
      </c>
      <c r="C10" s="2" t="inlineStr">
        <is>
          <t>Female WR</t>
        </is>
      </c>
      <c r="D10" s="2" t="n">
        <v>13</v>
      </c>
      <c r="E10" s="2" t="n">
        <v>13</v>
      </c>
      <c r="F10" s="2" t="n">
        <v>0</v>
      </c>
      <c r="G10" s="2" t="n">
        <v>19</v>
      </c>
      <c r="H10" s="2" t="n"/>
    </row>
    <row r="11" ht="33.65" customHeight="1">
      <c r="A11" s="2" t="inlineStr">
        <is>
          <t>Level  1</t>
        </is>
      </c>
      <c r="B11" s="2" t="n">
        <v>1</v>
      </c>
      <c r="C11" s="2" t="inlineStr">
        <is>
          <t>Male WR</t>
        </is>
      </c>
      <c r="D11" s="2" t="n">
        <v>13</v>
      </c>
      <c r="E11" s="2" t="n">
        <v>13</v>
      </c>
      <c r="F11" s="2" t="n">
        <v>10</v>
      </c>
      <c r="G11" s="2" t="n">
        <v>14</v>
      </c>
      <c r="H11" s="2" t="n"/>
    </row>
    <row r="12" ht="33.65" customHeight="1">
      <c r="A12" s="3" t="n"/>
      <c r="B12" s="2" t="n">
        <v>2</v>
      </c>
      <c r="C12" s="2" t="inlineStr">
        <is>
          <t>Female WR</t>
        </is>
      </c>
      <c r="D12" s="2" t="n">
        <v>16</v>
      </c>
      <c r="E12" s="2" t="n">
        <v>16</v>
      </c>
      <c r="F12" s="2" t="n">
        <v>0</v>
      </c>
      <c r="G12" s="2" t="n">
        <v>14</v>
      </c>
      <c r="H12" s="2" t="n"/>
    </row>
    <row r="13" ht="33.65" customHeight="1">
      <c r="A13" s="2" t="inlineStr">
        <is>
          <t>Level  2</t>
        </is>
      </c>
      <c r="B13" s="2" t="n">
        <v>1</v>
      </c>
      <c r="C13" s="2" t="inlineStr">
        <is>
          <t>Male WR</t>
        </is>
      </c>
      <c r="D13" s="2" t="n">
        <v>11</v>
      </c>
      <c r="E13" s="2" t="n">
        <v>11</v>
      </c>
      <c r="F13" s="2" t="n">
        <v>9</v>
      </c>
      <c r="G13" s="2" t="n">
        <v>14</v>
      </c>
      <c r="H13" s="2" t="n"/>
    </row>
    <row r="14" ht="33.65" customHeight="1">
      <c r="A14" s="3" t="n"/>
      <c r="B14" s="2" t="n">
        <v>2</v>
      </c>
      <c r="C14" s="2" t="inlineStr">
        <is>
          <t>Female WR</t>
        </is>
      </c>
      <c r="D14" s="2" t="n">
        <v>18</v>
      </c>
      <c r="E14" s="2" t="n">
        <v>18</v>
      </c>
      <c r="F14" s="2" t="n">
        <v>0</v>
      </c>
      <c r="G14" s="2" t="n">
        <v>16</v>
      </c>
      <c r="H14" s="2" t="n"/>
    </row>
    <row r="15" ht="33.65" customHeight="1">
      <c r="A15" s="2" t="inlineStr">
        <is>
          <t>Level 2 Near PR</t>
        </is>
      </c>
      <c r="B15" s="2" t="n">
        <v>1</v>
      </c>
      <c r="C15" s="2" t="inlineStr">
        <is>
          <t>Male WR</t>
        </is>
      </c>
      <c r="D15" s="2" t="n">
        <v>5</v>
      </c>
      <c r="E15" s="2" t="n">
        <v>5</v>
      </c>
      <c r="F15" s="2" t="n">
        <v>3</v>
      </c>
      <c r="G15" s="2" t="n">
        <v>5</v>
      </c>
      <c r="H15" s="2" t="n"/>
    </row>
    <row r="16" ht="33.65" customHeight="1">
      <c r="A16" s="3" t="n"/>
      <c r="B16" s="2" t="n">
        <v>2</v>
      </c>
      <c r="C16" s="2" t="inlineStr">
        <is>
          <t>Female WR</t>
        </is>
      </c>
      <c r="D16" s="2" t="n">
        <v>6</v>
      </c>
      <c r="E16" s="2" t="n">
        <v>6</v>
      </c>
      <c r="F16" s="2" t="n">
        <v>0</v>
      </c>
      <c r="G16" s="2" t="n">
        <v>6</v>
      </c>
      <c r="H16" s="2" t="n"/>
    </row>
    <row r="17" ht="33.65" customHeight="1">
      <c r="A17" s="2" t="inlineStr">
        <is>
          <t>Level  3</t>
        </is>
      </c>
      <c r="B17" s="2" t="n">
        <v>1</v>
      </c>
      <c r="C17" s="2" t="inlineStr">
        <is>
          <t>Male WR</t>
        </is>
      </c>
      <c r="D17" s="2" t="n">
        <v>5</v>
      </c>
      <c r="E17" s="2" t="n">
        <v>5</v>
      </c>
      <c r="F17" s="2" t="n">
        <v>3</v>
      </c>
      <c r="G17" s="2" t="n">
        <v>6</v>
      </c>
      <c r="H17" s="2" t="n"/>
    </row>
    <row r="18" ht="33.65" customHeight="1">
      <c r="A18" s="3" t="n"/>
      <c r="B18" s="2" t="n">
        <v>2</v>
      </c>
      <c r="C18" s="2" t="inlineStr">
        <is>
          <t>Female WR</t>
        </is>
      </c>
      <c r="D18" s="2" t="n">
        <v>4</v>
      </c>
      <c r="E18" s="2" t="n">
        <v>4</v>
      </c>
      <c r="F18" s="2" t="n">
        <v>0</v>
      </c>
      <c r="G18" s="2" t="n">
        <v>4</v>
      </c>
      <c r="H18" s="2" t="n"/>
    </row>
    <row r="19" ht="33.65" customHeight="1">
      <c r="A19" s="2" t="inlineStr">
        <is>
          <t>Level  4</t>
        </is>
      </c>
      <c r="B19" s="2" t="n">
        <v>1</v>
      </c>
      <c r="C19" s="2" t="inlineStr">
        <is>
          <t>Male WR</t>
        </is>
      </c>
      <c r="D19" s="2" t="n">
        <v>5</v>
      </c>
      <c r="E19" s="2" t="n">
        <v>5</v>
      </c>
      <c r="F19" s="2" t="n">
        <v>3</v>
      </c>
      <c r="G19" s="2" t="n">
        <v>6</v>
      </c>
      <c r="H19" s="2" t="n"/>
    </row>
    <row r="20" ht="33.65" customHeight="1">
      <c r="A20" s="3" t="n"/>
      <c r="B20" s="2" t="n">
        <v>2</v>
      </c>
      <c r="C20" s="2" t="inlineStr">
        <is>
          <t>Female WR</t>
        </is>
      </c>
      <c r="D20" s="2" t="n">
        <v>4</v>
      </c>
      <c r="E20" s="2" t="n">
        <v>4</v>
      </c>
      <c r="F20" s="2" t="n">
        <v>0</v>
      </c>
      <c r="G20" s="2" t="n">
        <v>4</v>
      </c>
      <c r="H20" s="2" t="n"/>
    </row>
    <row r="21" ht="33.65" customHeight="1">
      <c r="A21" s="4" t="inlineStr">
        <is>
          <t xml:space="preserve">Total </t>
        </is>
      </c>
      <c r="B21" s="5" t="n"/>
      <c r="C21" s="6" t="inlineStr">
        <is>
          <t>Male WR</t>
        </is>
      </c>
      <c r="D21" s="6">
        <f>SUM(D3+D7+D9+D11+D13+D15+D17+D19)</f>
        <v/>
      </c>
      <c r="E21" s="6">
        <f>SUM(E3+E7+E9+E11+E13+E15+E17+E19)</f>
        <v/>
      </c>
      <c r="F21" s="6">
        <f>SUM(F3+F7+F9+F11+F13+F15+F17+F19)</f>
        <v/>
      </c>
      <c r="G21" s="6">
        <f>SUM(G3+G7+G9+G11+G13+G15+G17+G19)</f>
        <v/>
      </c>
      <c r="H21" s="6" t="n"/>
    </row>
    <row r="22" ht="33.65" customHeight="1">
      <c r="A22" s="4" t="n"/>
      <c r="B22" s="5" t="n"/>
      <c r="C22" s="6" t="inlineStr">
        <is>
          <t>Female WR</t>
        </is>
      </c>
      <c r="D22" s="6">
        <f>SUM(D4+D8+D10+D12+D14+D16+D18+D20)</f>
        <v/>
      </c>
      <c r="E22" s="6">
        <f>SUM(E4+E8+E10+E12+E14+E16+E18+E20)</f>
        <v/>
      </c>
      <c r="F22" s="6">
        <f>SUM(F4+F8+F10+F12+F14+F16+F18+F20)</f>
        <v/>
      </c>
      <c r="G22" s="6">
        <f>SUM(G4+G8+G10+G12+G14+G16+G18+G20)</f>
        <v/>
      </c>
      <c r="H22" s="6" t="n"/>
    </row>
    <row r="23" ht="33.65" customHeight="1">
      <c r="A23" s="4" t="inlineStr">
        <is>
          <t xml:space="preserve">Subtotal </t>
        </is>
      </c>
      <c r="B23" s="5" t="n"/>
      <c r="C23" s="6" t="n"/>
      <c r="D23" s="6">
        <f>SUM(D21+D22)</f>
        <v/>
      </c>
      <c r="E23" s="6">
        <f>SUM(E21+E22)</f>
        <v/>
      </c>
      <c r="F23" s="6">
        <f>SUM(F21+F22)</f>
        <v/>
      </c>
      <c r="G23" s="6">
        <f>SUM(G21+G22)</f>
        <v/>
      </c>
      <c r="H23" s="6" t="n"/>
    </row>
  </sheetData>
  <mergeCells count="19">
    <mergeCell ref="A7:A8"/>
    <mergeCell ref="C1:C2"/>
    <mergeCell ref="E1:E2"/>
    <mergeCell ref="A3:A4"/>
    <mergeCell ref="B1:B2"/>
    <mergeCell ref="A5:A6"/>
    <mergeCell ref="A21:B21"/>
    <mergeCell ref="A17:A18"/>
    <mergeCell ref="A13:A14"/>
    <mergeCell ref="G1:G2"/>
    <mergeCell ref="A23:B23"/>
    <mergeCell ref="A19:A20"/>
    <mergeCell ref="A22:B22"/>
    <mergeCell ref="A9:A10"/>
    <mergeCell ref="A15:A16"/>
    <mergeCell ref="D1:D2"/>
    <mergeCell ref="H1:H2"/>
    <mergeCell ref="A11:A12"/>
    <mergeCell ref="A1:A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30.45" customWidth="1" min="7" max="7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Cubicle</t>
        </is>
      </c>
      <c r="E1" s="1" t="inlineStr">
        <is>
          <t>Pedal Bins</t>
        </is>
      </c>
      <c r="F1" s="1" t="inlineStr">
        <is>
          <t>Wash basin</t>
        </is>
      </c>
      <c r="G1" s="1" t="inlineStr">
        <is>
          <t>Remarks</t>
        </is>
      </c>
    </row>
    <row r="2" ht="44.15" customHeight="1">
      <c r="A2" s="1" t="n"/>
      <c r="B2" s="1" t="n"/>
      <c r="C2" s="1" t="n"/>
      <c r="D2" s="1" t="n"/>
      <c r="E2" s="1" t="n"/>
      <c r="F2" s="1" t="n"/>
      <c r="G2" s="1" t="n"/>
    </row>
    <row r="3" ht="33.65" customHeight="1">
      <c r="A3" s="2" t="inlineStr">
        <is>
          <t xml:space="preserve">LM Food Court </t>
        </is>
      </c>
      <c r="B3" s="2" t="n">
        <v>1</v>
      </c>
      <c r="C3" s="2" t="inlineStr">
        <is>
          <t>Male WR</t>
        </is>
      </c>
      <c r="D3" s="2" t="n">
        <v>1</v>
      </c>
      <c r="E3" s="2" t="n">
        <v>1</v>
      </c>
      <c r="F3" s="2" t="n">
        <v>1</v>
      </c>
      <c r="G3" s="2" t="n"/>
    </row>
    <row r="4" ht="33.65" customHeight="1">
      <c r="A4" s="3" t="n"/>
      <c r="B4" s="2" t="n">
        <v>2</v>
      </c>
      <c r="C4" s="2" t="inlineStr">
        <is>
          <t>Female WR</t>
        </is>
      </c>
      <c r="D4" s="2" t="n">
        <v>1</v>
      </c>
      <c r="E4" s="2" t="n">
        <v>1</v>
      </c>
      <c r="F4" s="2" t="n">
        <v>1</v>
      </c>
      <c r="G4" s="2" t="n"/>
    </row>
    <row r="5" ht="33.65" customHeight="1">
      <c r="A5" s="2" t="inlineStr">
        <is>
          <t xml:space="preserve">LGM Food Court </t>
        </is>
      </c>
      <c r="B5" s="2" t="n">
        <v>1</v>
      </c>
      <c r="C5" s="2" t="inlineStr">
        <is>
          <t>Male WR</t>
        </is>
      </c>
      <c r="D5" s="2" t="n">
        <v>1</v>
      </c>
      <c r="E5" s="2" t="n">
        <v>1</v>
      </c>
      <c r="F5" s="2" t="n">
        <v>1</v>
      </c>
      <c r="G5" s="2" t="n"/>
    </row>
    <row r="6" ht="33.65" customHeight="1">
      <c r="A6" s="3" t="n"/>
      <c r="B6" s="2" t="n">
        <v>2</v>
      </c>
      <c r="C6" s="2" t="inlineStr">
        <is>
          <t>Female WR</t>
        </is>
      </c>
      <c r="D6" s="2" t="n">
        <v>1</v>
      </c>
      <c r="E6" s="2" t="n">
        <v>1</v>
      </c>
      <c r="F6" s="2" t="n">
        <v>1</v>
      </c>
      <c r="G6" s="2" t="n"/>
    </row>
    <row r="7" ht="33.65" customHeight="1">
      <c r="A7" s="2" t="inlineStr">
        <is>
          <t xml:space="preserve">Boulevard level </t>
        </is>
      </c>
      <c r="B7" s="2" t="n">
        <v>1</v>
      </c>
      <c r="C7" s="2" t="inlineStr">
        <is>
          <t>Male WR</t>
        </is>
      </c>
      <c r="D7" s="2" t="n">
        <v>1</v>
      </c>
      <c r="E7" s="2" t="n">
        <v>1</v>
      </c>
      <c r="F7" s="2" t="n">
        <v>1</v>
      </c>
      <c r="G7" s="2" t="n"/>
    </row>
    <row r="8" ht="33.65" customHeight="1">
      <c r="A8" s="3" t="n"/>
      <c r="B8" s="2" t="n">
        <v>2</v>
      </c>
      <c r="C8" s="2" t="inlineStr">
        <is>
          <t>Female WR</t>
        </is>
      </c>
      <c r="D8" s="2" t="n">
        <v>1</v>
      </c>
      <c r="E8" s="2" t="n">
        <v>1</v>
      </c>
      <c r="F8" s="2" t="n">
        <v>1</v>
      </c>
      <c r="G8" s="2" t="n"/>
    </row>
    <row r="9" ht="33.65" customHeight="1">
      <c r="A9" s="2" t="inlineStr">
        <is>
          <t>Level G VIP</t>
        </is>
      </c>
      <c r="B9" s="2" t="n">
        <v>1</v>
      </c>
      <c r="C9" s="2" t="inlineStr">
        <is>
          <t>Male WR</t>
        </is>
      </c>
      <c r="D9" s="2" t="n">
        <v>1</v>
      </c>
      <c r="E9" s="2" t="n">
        <v>1</v>
      </c>
      <c r="F9" s="2" t="n">
        <v>1</v>
      </c>
      <c r="G9" s="2" t="n"/>
    </row>
    <row r="10" ht="33.65" customHeight="1">
      <c r="A10" s="3" t="n"/>
      <c r="B10" s="2" t="n">
        <v>2</v>
      </c>
      <c r="C10" s="2" t="inlineStr">
        <is>
          <t>Female WR</t>
        </is>
      </c>
      <c r="D10" s="2" t="n">
        <v>1</v>
      </c>
      <c r="E10" s="2" t="n">
        <v>1</v>
      </c>
      <c r="F10" s="2" t="n">
        <v>1</v>
      </c>
      <c r="G10" s="2" t="n"/>
    </row>
    <row r="11" ht="33.65" customHeight="1">
      <c r="A11" s="2" t="inlineStr">
        <is>
          <t>Level  1</t>
        </is>
      </c>
      <c r="B11" s="2" t="n">
        <v>1</v>
      </c>
      <c r="C11" s="2" t="inlineStr">
        <is>
          <t>Male WR</t>
        </is>
      </c>
      <c r="D11" s="2" t="n">
        <v>1</v>
      </c>
      <c r="E11" s="2" t="n">
        <v>1</v>
      </c>
      <c r="F11" s="2" t="n">
        <v>1</v>
      </c>
      <c r="G11" s="2" t="n"/>
    </row>
    <row r="12" ht="33.65" customHeight="1">
      <c r="A12" s="3" t="n"/>
      <c r="B12" s="2" t="n">
        <v>2</v>
      </c>
      <c r="C12" s="2" t="inlineStr">
        <is>
          <t>Female WR</t>
        </is>
      </c>
      <c r="D12" s="2" t="n">
        <v>1</v>
      </c>
      <c r="E12" s="2" t="n">
        <v>1</v>
      </c>
      <c r="F12" s="2" t="n">
        <v>1</v>
      </c>
      <c r="G12" s="2" t="n"/>
    </row>
    <row r="13" ht="33.65" customHeight="1">
      <c r="A13" s="2" t="inlineStr">
        <is>
          <t>Level 2 PR</t>
        </is>
      </c>
      <c r="B13" s="2" t="n">
        <v>1</v>
      </c>
      <c r="C13" s="2" t="inlineStr">
        <is>
          <t>Male WR</t>
        </is>
      </c>
      <c r="D13" s="2" t="n">
        <v>1</v>
      </c>
      <c r="E13" s="2" t="n">
        <v>1</v>
      </c>
      <c r="F13" s="2" t="n">
        <v>1</v>
      </c>
      <c r="G13" s="2" t="n"/>
    </row>
    <row r="14" ht="33.65" customHeight="1">
      <c r="A14" s="3" t="n"/>
      <c r="B14" s="2" t="n">
        <v>2</v>
      </c>
      <c r="C14" s="2" t="inlineStr">
        <is>
          <t>Female WR</t>
        </is>
      </c>
      <c r="D14" s="2" t="n">
        <v>1</v>
      </c>
      <c r="E14" s="2" t="n">
        <v>1</v>
      </c>
      <c r="F14" s="2" t="n">
        <v>1</v>
      </c>
      <c r="G14" s="2" t="n"/>
    </row>
    <row r="15" ht="33.65" customHeight="1">
      <c r="A15" s="2" t="inlineStr">
        <is>
          <t>Level  2</t>
        </is>
      </c>
      <c r="B15" s="2" t="n">
        <v>1</v>
      </c>
      <c r="C15" s="2" t="inlineStr">
        <is>
          <t>Male WR</t>
        </is>
      </c>
      <c r="D15" s="2" t="n">
        <v>1</v>
      </c>
      <c r="E15" s="2" t="n">
        <v>1</v>
      </c>
      <c r="F15" s="2" t="n">
        <v>1</v>
      </c>
      <c r="G15" s="2" t="n"/>
    </row>
    <row r="16" ht="33.65" customHeight="1">
      <c r="A16" s="3" t="n"/>
      <c r="B16" s="2" t="n">
        <v>2</v>
      </c>
      <c r="C16" s="2" t="inlineStr">
        <is>
          <t>Female WR</t>
        </is>
      </c>
      <c r="D16" s="2" t="n">
        <v>1</v>
      </c>
      <c r="E16" s="2" t="n">
        <v>1</v>
      </c>
      <c r="F16" s="2" t="n">
        <v>1</v>
      </c>
      <c r="G16" s="2" t="n"/>
    </row>
    <row r="17" ht="33.65" customHeight="1">
      <c r="A17" s="2" t="inlineStr">
        <is>
          <t>Level  3</t>
        </is>
      </c>
      <c r="B17" s="2" t="n">
        <v>1</v>
      </c>
      <c r="C17" s="2" t="inlineStr">
        <is>
          <t>Male WR</t>
        </is>
      </c>
      <c r="D17" s="2" t="n">
        <v>1</v>
      </c>
      <c r="E17" s="2" t="n">
        <v>1</v>
      </c>
      <c r="F17" s="2" t="n">
        <v>1</v>
      </c>
      <c r="G17" s="2" t="n"/>
    </row>
    <row r="18" ht="33.65" customHeight="1">
      <c r="A18" s="3" t="n"/>
      <c r="B18" s="2" t="n">
        <v>2</v>
      </c>
      <c r="C18" s="2" t="inlineStr">
        <is>
          <t>Female WR</t>
        </is>
      </c>
      <c r="D18" s="2" t="n">
        <v>1</v>
      </c>
      <c r="E18" s="2" t="n">
        <v>1</v>
      </c>
      <c r="F18" s="2" t="n">
        <v>1</v>
      </c>
      <c r="G18" s="2" t="n"/>
    </row>
    <row r="19" ht="33.65" customHeight="1">
      <c r="A19" s="2" t="inlineStr">
        <is>
          <t>Level  4</t>
        </is>
      </c>
      <c r="B19" s="2" t="n">
        <v>1</v>
      </c>
      <c r="C19" s="2" t="inlineStr">
        <is>
          <t>Male WR</t>
        </is>
      </c>
      <c r="D19" s="2" t="n">
        <v>1</v>
      </c>
      <c r="E19" s="2" t="n">
        <v>1</v>
      </c>
      <c r="F19" s="2" t="n">
        <v>1</v>
      </c>
      <c r="G19" s="2" t="n"/>
    </row>
    <row r="20" ht="33.65" customHeight="1">
      <c r="A20" s="3" t="n"/>
      <c r="B20" s="2" t="n">
        <v>2</v>
      </c>
      <c r="C20" s="2" t="inlineStr">
        <is>
          <t>Female WR</t>
        </is>
      </c>
      <c r="D20" s="2" t="n">
        <v>1</v>
      </c>
      <c r="E20" s="2" t="n">
        <v>1</v>
      </c>
      <c r="F20" s="2" t="n">
        <v>1</v>
      </c>
      <c r="G20" s="2" t="n"/>
    </row>
    <row r="21" ht="33.65" customHeight="1">
      <c r="A21" s="4" t="inlineStr">
        <is>
          <t xml:space="preserve">Total </t>
        </is>
      </c>
      <c r="B21" s="5" t="n"/>
      <c r="C21" s="6" t="inlineStr">
        <is>
          <t>Male WR</t>
        </is>
      </c>
      <c r="D21" s="6">
        <f>SUM(D19,D17,D15,D13,D11,D9,D7,D5,D3)</f>
        <v/>
      </c>
      <c r="E21" s="6">
        <f>SUM(E19,E17,E15,E13,E11,E9,E7,E5,E3)</f>
        <v/>
      </c>
      <c r="F21" s="6">
        <f>SUM(F19,F17,F15,F13,F11,F9,F7,F5,F3)</f>
        <v/>
      </c>
      <c r="G21" s="6" t="n"/>
    </row>
    <row r="22" ht="33.65" customHeight="1">
      <c r="A22" s="4" t="n"/>
      <c r="B22" s="5" t="n"/>
      <c r="C22" s="6" t="inlineStr">
        <is>
          <t>Female WR</t>
        </is>
      </c>
      <c r="D22" s="6">
        <f>SUM(D20,D18,D16,D14,D12,D10,D8,D6,D4)</f>
        <v/>
      </c>
      <c r="E22" s="6">
        <f>SUM(E20,E18,E16,E14,E12,E10,E8,E6,E4)</f>
        <v/>
      </c>
      <c r="F22" s="6">
        <f>SUM(F20,F18,F16,F14,F12,F10,F8,F6,F4)</f>
        <v/>
      </c>
      <c r="G22" s="6" t="n"/>
    </row>
    <row r="23" ht="33.65" customHeight="1">
      <c r="A23" s="4" t="inlineStr">
        <is>
          <t xml:space="preserve">Subtotal </t>
        </is>
      </c>
      <c r="B23" s="5" t="n"/>
      <c r="C23" s="6" t="n"/>
      <c r="D23" s="6">
        <f>SUM(D21+D22)</f>
        <v/>
      </c>
      <c r="E23" s="6">
        <f>SUM(E21+E22)</f>
        <v/>
      </c>
      <c r="F23" s="6">
        <f>SUM(F21+F22)</f>
        <v/>
      </c>
      <c r="G23" s="6" t="n"/>
    </row>
  </sheetData>
  <mergeCells count="19">
    <mergeCell ref="A7:A8"/>
    <mergeCell ref="C1:C2"/>
    <mergeCell ref="E1:E2"/>
    <mergeCell ref="A3:A4"/>
    <mergeCell ref="B1:B2"/>
    <mergeCell ref="A5:A6"/>
    <mergeCell ref="A21:B21"/>
    <mergeCell ref="A17:A18"/>
    <mergeCell ref="A13:A14"/>
    <mergeCell ref="G1:G2"/>
    <mergeCell ref="A23:B23"/>
    <mergeCell ref="A19:A20"/>
    <mergeCell ref="A22:B22"/>
    <mergeCell ref="A9:A10"/>
    <mergeCell ref="A15:A16"/>
    <mergeCell ref="D1:D2"/>
    <mergeCell ref="F1:F2"/>
    <mergeCell ref="A11:A12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Cubicle</t>
        </is>
      </c>
      <c r="E1" s="1" t="inlineStr">
        <is>
          <t xml:space="preserve">Pedal Bins </t>
        </is>
      </c>
      <c r="F1" s="1" t="inlineStr">
        <is>
          <t>Urinal</t>
        </is>
      </c>
      <c r="G1" s="1" t="inlineStr">
        <is>
          <t xml:space="preserve">Toilet Rolls  Dispenser </t>
        </is>
      </c>
      <c r="H1" s="1" t="inlineStr">
        <is>
          <t>Wash basin</t>
        </is>
      </c>
      <c r="I1" s="1" t="inlineStr">
        <is>
          <t>Remarks</t>
        </is>
      </c>
    </row>
    <row r="2" ht="44.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33.65" customHeight="1">
      <c r="A3" s="2" t="inlineStr">
        <is>
          <t>Basement-1</t>
        </is>
      </c>
      <c r="B3" s="2" t="n">
        <v>1</v>
      </c>
      <c r="C3" s="2" t="inlineStr">
        <is>
          <t>Male WR</t>
        </is>
      </c>
      <c r="D3" s="2" t="n">
        <v>14</v>
      </c>
      <c r="E3" s="2" t="n">
        <v>14</v>
      </c>
      <c r="F3" s="2" t="n">
        <v>6</v>
      </c>
      <c r="G3" s="2" t="n">
        <v>14</v>
      </c>
      <c r="H3" s="2" t="n">
        <v>14</v>
      </c>
      <c r="I3" s="2" t="n"/>
    </row>
    <row r="4" ht="33.65" customHeight="1">
      <c r="A4" s="3" t="n"/>
      <c r="B4" s="2" t="n">
        <v>2</v>
      </c>
      <c r="C4" s="2" t="inlineStr">
        <is>
          <t>Female WR</t>
        </is>
      </c>
      <c r="D4" s="2" t="n">
        <v>16</v>
      </c>
      <c r="E4" s="2" t="n">
        <v>16</v>
      </c>
      <c r="F4" s="2" t="n">
        <v>0</v>
      </c>
      <c r="G4" s="2" t="n">
        <v>16</v>
      </c>
      <c r="H4" s="2" t="n">
        <v>16</v>
      </c>
      <c r="I4" s="2" t="n"/>
    </row>
    <row r="5" ht="33.65" customHeight="1">
      <c r="A5" s="2" t="inlineStr">
        <is>
          <t xml:space="preserve">Boulevard Parking  </t>
        </is>
      </c>
      <c r="B5" s="2" t="n">
        <v>1</v>
      </c>
      <c r="C5" s="2" t="inlineStr">
        <is>
          <t>Male WR</t>
        </is>
      </c>
      <c r="D5" s="2" t="n">
        <v>3</v>
      </c>
      <c r="E5" s="2" t="n">
        <v>3</v>
      </c>
      <c r="F5" s="2" t="n">
        <v>4</v>
      </c>
      <c r="G5" s="2" t="n">
        <v>3</v>
      </c>
      <c r="H5" s="2" t="n">
        <v>3</v>
      </c>
      <c r="I5" s="2" t="n"/>
    </row>
    <row r="6" ht="33.65" customHeight="1">
      <c r="A6" s="7" t="n"/>
      <c r="B6" s="2" t="n">
        <v>2</v>
      </c>
      <c r="C6" s="2" t="inlineStr">
        <is>
          <t>Female WR</t>
        </is>
      </c>
      <c r="D6" s="2" t="n">
        <v>2</v>
      </c>
      <c r="E6" s="2" t="n">
        <v>2</v>
      </c>
      <c r="F6" s="2" t="n">
        <v>0</v>
      </c>
      <c r="G6" s="2" t="n">
        <v>2</v>
      </c>
      <c r="H6" s="2" t="n">
        <v>2</v>
      </c>
      <c r="I6" s="2" t="n"/>
    </row>
    <row r="7" ht="33.65" customHeight="1">
      <c r="A7" s="3" t="n"/>
      <c r="B7" s="2" t="n">
        <v>3</v>
      </c>
      <c r="C7" s="2" t="inlineStr">
        <is>
          <t xml:space="preserve"> Valet Male WR</t>
        </is>
      </c>
      <c r="D7" s="2" t="n">
        <v>1</v>
      </c>
      <c r="E7" s="2" t="n">
        <v>1</v>
      </c>
      <c r="F7" s="2" t="n">
        <v>0</v>
      </c>
      <c r="G7" s="2" t="n">
        <v>1</v>
      </c>
      <c r="H7" s="2" t="n">
        <v>1</v>
      </c>
      <c r="I7" s="2" t="n"/>
    </row>
    <row r="8" ht="33.65" customHeight="1">
      <c r="A8" s="2" t="inlineStr">
        <is>
          <t xml:space="preserve">Ground Level </t>
        </is>
      </c>
      <c r="B8" s="2" t="n">
        <v>1</v>
      </c>
      <c r="C8" s="2" t="inlineStr">
        <is>
          <t>Male WR</t>
        </is>
      </c>
      <c r="D8" s="2" t="n">
        <v>3</v>
      </c>
      <c r="E8" s="2" t="n">
        <v>3</v>
      </c>
      <c r="F8" s="2" t="n">
        <v>2</v>
      </c>
      <c r="G8" s="2" t="n">
        <v>3</v>
      </c>
      <c r="H8" s="2" t="n">
        <v>4</v>
      </c>
      <c r="I8" s="2" t="n"/>
    </row>
    <row r="9" ht="33.65" customHeight="1">
      <c r="A9" s="3" t="n"/>
      <c r="B9" s="2" t="n">
        <v>2</v>
      </c>
      <c r="C9" s="2" t="inlineStr">
        <is>
          <t>Female WR</t>
        </is>
      </c>
      <c r="D9" s="2" t="n">
        <v>4</v>
      </c>
      <c r="E9" s="2" t="n">
        <v>4</v>
      </c>
      <c r="F9" s="2" t="n">
        <v>0</v>
      </c>
      <c r="G9" s="2" t="n">
        <v>4</v>
      </c>
      <c r="H9" s="2" t="n">
        <v>4</v>
      </c>
      <c r="I9" s="2" t="n"/>
    </row>
    <row r="10" ht="33.65" customHeight="1">
      <c r="A10" s="2" t="inlineStr">
        <is>
          <t xml:space="preserve">1 Level </t>
        </is>
      </c>
      <c r="B10" s="2" t="n">
        <v>1</v>
      </c>
      <c r="C10" s="2" t="inlineStr">
        <is>
          <t>Male WR</t>
        </is>
      </c>
      <c r="D10" s="2" t="n">
        <v>3</v>
      </c>
      <c r="E10" s="2" t="n">
        <v>3</v>
      </c>
      <c r="F10" s="2" t="n">
        <v>2</v>
      </c>
      <c r="G10" s="2" t="n">
        <v>3</v>
      </c>
      <c r="H10" s="2" t="n">
        <v>4</v>
      </c>
      <c r="I10" s="2" t="n"/>
    </row>
    <row r="11" ht="33.65" customHeight="1">
      <c r="A11" s="3" t="n"/>
      <c r="B11" s="2" t="n">
        <v>2</v>
      </c>
      <c r="C11" s="2" t="inlineStr">
        <is>
          <t>Female WR</t>
        </is>
      </c>
      <c r="D11" s="2" t="n">
        <v>4</v>
      </c>
      <c r="E11" s="2" t="n">
        <v>4</v>
      </c>
      <c r="F11" s="2" t="n">
        <v>0</v>
      </c>
      <c r="G11" s="2" t="n">
        <v>4</v>
      </c>
      <c r="H11" s="2" t="n">
        <v>4</v>
      </c>
      <c r="I11" s="2" t="n"/>
    </row>
    <row r="12" ht="33.65" customHeight="1">
      <c r="A12" s="2" t="inlineStr">
        <is>
          <t xml:space="preserve">CCTV </t>
        </is>
      </c>
      <c r="B12" s="2" t="n">
        <v>1</v>
      </c>
      <c r="C12" s="2" t="inlineStr">
        <is>
          <t>Male WR</t>
        </is>
      </c>
      <c r="D12" s="2" t="n">
        <v>1</v>
      </c>
      <c r="E12" s="2" t="n">
        <v>1</v>
      </c>
      <c r="F12" s="2" t="n">
        <v>1</v>
      </c>
      <c r="G12" s="2" t="n">
        <v>1</v>
      </c>
      <c r="H12" s="2" t="n">
        <v>1</v>
      </c>
      <c r="I12" s="2" t="n"/>
    </row>
    <row r="13" ht="33.65" customHeight="1">
      <c r="A13" s="2" t="inlineStr">
        <is>
          <t xml:space="preserve">Basement-1 Parking side </t>
        </is>
      </c>
      <c r="B13" s="2" t="n">
        <v>1</v>
      </c>
      <c r="C13" s="2" t="inlineStr">
        <is>
          <t>Male WR</t>
        </is>
      </c>
      <c r="D13" s="2" t="n">
        <v>6</v>
      </c>
      <c r="E13" s="2" t="n">
        <v>6</v>
      </c>
      <c r="F13" s="2" t="n">
        <v>4</v>
      </c>
      <c r="G13" s="2" t="n">
        <v>6</v>
      </c>
      <c r="H13" s="2" t="n">
        <v>6</v>
      </c>
      <c r="I13" s="2" t="n"/>
    </row>
    <row r="14" ht="33.65" customHeight="1">
      <c r="A14" s="3" t="n"/>
      <c r="B14" s="2" t="n">
        <v>2</v>
      </c>
      <c r="C14" s="2" t="inlineStr">
        <is>
          <t>Female WR</t>
        </is>
      </c>
      <c r="D14" s="2" t="n">
        <v>4</v>
      </c>
      <c r="E14" s="2" t="n">
        <v>4</v>
      </c>
      <c r="F14" s="2" t="n">
        <v>0</v>
      </c>
      <c r="G14" s="2" t="n">
        <v>4</v>
      </c>
      <c r="H14" s="2" t="n">
        <v>4</v>
      </c>
      <c r="I14" s="2" t="n"/>
    </row>
    <row r="15" ht="33.65" customHeight="1">
      <c r="A15" s="4" t="inlineStr">
        <is>
          <t xml:space="preserve">Total </t>
        </is>
      </c>
      <c r="B15" s="5" t="n"/>
      <c r="C15" s="6" t="inlineStr">
        <is>
          <t>Male WR</t>
        </is>
      </c>
      <c r="D15" s="6">
        <f>SUM(D3+D5+D7+D8+D10+D12+D13)</f>
        <v/>
      </c>
      <c r="E15" s="6">
        <f>SUM(E3+E5+E7+E8+E10+E12+E13)</f>
        <v/>
      </c>
      <c r="F15" s="6">
        <f>SUM(F3+F5+F7+F8+F10+F12+F13)</f>
        <v/>
      </c>
      <c r="G15" s="6">
        <f>SUM(G3+G5+G7+G8+G10+G12+G13)</f>
        <v/>
      </c>
      <c r="H15" s="6">
        <f>SUM(H3+H5+H7+H8+H10+H12+H13)</f>
        <v/>
      </c>
      <c r="I15" s="6" t="n"/>
    </row>
    <row r="16" ht="33.65" customHeight="1">
      <c r="A16" s="4" t="n"/>
      <c r="B16" s="5" t="n"/>
      <c r="C16" s="6" t="inlineStr">
        <is>
          <t>Female WR</t>
        </is>
      </c>
      <c r="D16" s="6">
        <f>SUM(D4+D6+D9+D10+D14)</f>
        <v/>
      </c>
      <c r="E16" s="6">
        <f>SUM(E4+E6+E9+E10+E14)</f>
        <v/>
      </c>
      <c r="F16" s="6">
        <f>SUM(F4+F6+F9+F10+F14)</f>
        <v/>
      </c>
      <c r="G16" s="6">
        <f>SUM(G4+G6+G9+G10+G14)</f>
        <v/>
      </c>
      <c r="H16" s="6">
        <f>SUM(H4+H6+H9+H10+H14)</f>
        <v/>
      </c>
      <c r="I16" s="6" t="n"/>
    </row>
    <row r="17" ht="33.65" customHeight="1">
      <c r="A17" s="4" t="inlineStr">
        <is>
          <t xml:space="preserve">Subtotal </t>
        </is>
      </c>
      <c r="B17" s="5" t="n"/>
      <c r="C17" s="6" t="n"/>
      <c r="D17" s="6">
        <f>SUM(D15:D16)</f>
        <v/>
      </c>
      <c r="E17" s="6">
        <f>SUM(E15:E16)</f>
        <v/>
      </c>
      <c r="F17" s="6">
        <f>SUM(F15:F16)</f>
        <v/>
      </c>
      <c r="G17" s="6">
        <f>SUM(G15:G16)</f>
        <v/>
      </c>
      <c r="H17" s="6">
        <f>SUM(H15:H16)</f>
        <v/>
      </c>
      <c r="I17" s="6" t="n"/>
    </row>
  </sheetData>
  <mergeCells count="17">
    <mergeCell ref="I1:I2"/>
    <mergeCell ref="A16:B16"/>
    <mergeCell ref="A8:A9"/>
    <mergeCell ref="A15:B15"/>
    <mergeCell ref="A13:A14"/>
    <mergeCell ref="A3:A4"/>
    <mergeCell ref="A10:A11"/>
    <mergeCell ref="C1:C2"/>
    <mergeCell ref="B1:B2"/>
    <mergeCell ref="D1:D2"/>
    <mergeCell ref="E1:E2"/>
    <mergeCell ref="F1:F2"/>
    <mergeCell ref="G1:G2"/>
    <mergeCell ref="A17:B17"/>
    <mergeCell ref="A5:A7"/>
    <mergeCell ref="H1:H2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30.45" customWidth="1" min="7" max="7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Cubicle</t>
        </is>
      </c>
      <c r="E1" s="1" t="inlineStr">
        <is>
          <t xml:space="preserve">Pedal Bins </t>
        </is>
      </c>
      <c r="F1" s="1" t="inlineStr">
        <is>
          <t>Wash basin</t>
        </is>
      </c>
      <c r="G1" s="1" t="inlineStr">
        <is>
          <t>Remarks</t>
        </is>
      </c>
    </row>
    <row r="2" ht="44.15" customHeight="1">
      <c r="A2" s="1" t="n"/>
      <c r="B2" s="1" t="n"/>
      <c r="C2" s="1" t="n"/>
      <c r="D2" s="1" t="n"/>
      <c r="E2" s="1" t="n"/>
      <c r="F2" s="1" t="n"/>
      <c r="G2" s="1" t="n"/>
    </row>
    <row r="3" ht="33.65" customHeight="1">
      <c r="A3" s="2" t="inlineStr">
        <is>
          <t>LG DED</t>
        </is>
      </c>
      <c r="B3" s="2" t="n">
        <v>1</v>
      </c>
      <c r="C3" s="2" t="inlineStr">
        <is>
          <t>Male WR</t>
        </is>
      </c>
      <c r="D3" s="2" t="n">
        <v>1</v>
      </c>
      <c r="E3" s="2" t="n">
        <v>1</v>
      </c>
      <c r="F3" s="2" t="n">
        <v>1</v>
      </c>
      <c r="G3" s="2" t="n"/>
    </row>
    <row r="4" ht="33.65" customHeight="1">
      <c r="A4" s="3" t="n"/>
      <c r="B4" s="2" t="n">
        <v>2</v>
      </c>
      <c r="C4" s="2" t="inlineStr">
        <is>
          <t>Female WR</t>
        </is>
      </c>
      <c r="D4" s="2" t="n">
        <v>1</v>
      </c>
      <c r="E4" s="2" t="n">
        <v>1</v>
      </c>
      <c r="F4" s="2" t="n">
        <v>1</v>
      </c>
      <c r="G4" s="2" t="n"/>
    </row>
    <row r="5" ht="33.65" customHeight="1">
      <c r="A5" s="2" t="inlineStr">
        <is>
          <t xml:space="preserve">LG Munities </t>
        </is>
      </c>
      <c r="B5" s="2" t="n">
        <v>1</v>
      </c>
      <c r="C5" s="2" t="inlineStr">
        <is>
          <t>M/F WR</t>
        </is>
      </c>
      <c r="D5" s="2" t="n">
        <v>0</v>
      </c>
      <c r="E5" s="10" t="n"/>
      <c r="F5" s="5" t="n"/>
      <c r="G5" s="2" t="n"/>
    </row>
    <row r="6" ht="33.65" customHeight="1">
      <c r="A6" s="3" t="n"/>
      <c r="B6" s="2" t="n">
        <v>2</v>
      </c>
      <c r="C6" s="2" t="n"/>
      <c r="D6" s="2" t="n">
        <v>1</v>
      </c>
      <c r="E6" s="2" t="n">
        <v>1</v>
      </c>
      <c r="F6" s="2" t="n">
        <v>1</v>
      </c>
      <c r="G6" s="2" t="n"/>
    </row>
    <row r="7" ht="33.65" customHeight="1">
      <c r="A7" s="2" t="inlineStr">
        <is>
          <t xml:space="preserve">LG Food Court Chines Place </t>
        </is>
      </c>
      <c r="B7" s="2" t="n">
        <v>1</v>
      </c>
      <c r="C7" s="2" t="inlineStr">
        <is>
          <t>Male WR</t>
        </is>
      </c>
      <c r="D7" s="2" t="n">
        <v>1</v>
      </c>
      <c r="E7" s="2" t="n">
        <v>1</v>
      </c>
      <c r="F7" s="2" t="n">
        <v>1</v>
      </c>
      <c r="G7" s="2" t="n"/>
    </row>
    <row r="8" ht="33.65" customHeight="1">
      <c r="A8" s="3" t="n"/>
      <c r="B8" s="2" t="n">
        <v>2</v>
      </c>
      <c r="C8" s="2" t="n"/>
      <c r="D8" s="2" t="n">
        <v>0</v>
      </c>
      <c r="E8" s="10" t="n"/>
      <c r="F8" s="5" t="n"/>
      <c r="G8" s="2" t="n"/>
    </row>
    <row r="9" ht="33.65" customHeight="1">
      <c r="A9" s="2" t="inlineStr">
        <is>
          <t>LG Food court AT THE TOP</t>
        </is>
      </c>
      <c r="B9" s="2" t="n">
        <v>1</v>
      </c>
      <c r="C9" s="2" t="inlineStr">
        <is>
          <t>Male WR</t>
        </is>
      </c>
      <c r="D9" s="2" t="n">
        <v>1</v>
      </c>
      <c r="E9" s="2" t="n">
        <v>1</v>
      </c>
      <c r="F9" s="2" t="n">
        <v>1</v>
      </c>
      <c r="G9" s="2" t="n"/>
    </row>
    <row r="10" ht="33.65" customHeight="1">
      <c r="A10" s="3" t="n"/>
      <c r="B10" s="2" t="n">
        <v>2</v>
      </c>
      <c r="C10" s="2" t="inlineStr">
        <is>
          <t>Female WR</t>
        </is>
      </c>
      <c r="D10" s="2" t="n">
        <v>1</v>
      </c>
      <c r="E10" s="2" t="n">
        <v>1</v>
      </c>
      <c r="F10" s="2" t="n">
        <v>1</v>
      </c>
      <c r="G10" s="2" t="n"/>
    </row>
    <row r="11" ht="33.65" customHeight="1">
      <c r="A11" s="4" t="inlineStr">
        <is>
          <t xml:space="preserve">Total </t>
        </is>
      </c>
      <c r="B11" s="5" t="n"/>
      <c r="C11" s="6" t="inlineStr">
        <is>
          <t>Male WR</t>
        </is>
      </c>
      <c r="D11" s="6">
        <f>SUM(D3+D5+D7+D9)</f>
        <v/>
      </c>
      <c r="E11" s="6">
        <f>SUM(E3+E5+E7+E9)</f>
        <v/>
      </c>
      <c r="F11" s="6">
        <f>SUM(F3+F5+F7+F9)</f>
        <v/>
      </c>
      <c r="G11" s="6" t="n"/>
    </row>
    <row r="12" ht="33.65" customHeight="1">
      <c r="A12" s="4" t="n"/>
      <c r="B12" s="5" t="n"/>
      <c r="C12" s="6" t="inlineStr">
        <is>
          <t>Female WR</t>
        </is>
      </c>
      <c r="D12" s="6">
        <f>SUM(D4+D6+D8+D10)</f>
        <v/>
      </c>
      <c r="E12" s="6">
        <f>SUM(E4+E6+E8+E10)</f>
        <v/>
      </c>
      <c r="F12" s="6">
        <f>SUM(F4+F6+F8+F10)</f>
        <v/>
      </c>
      <c r="G12" s="6" t="n"/>
    </row>
    <row r="13" ht="33.65" customHeight="1">
      <c r="A13" s="4" t="inlineStr">
        <is>
          <t xml:space="preserve">Sub total </t>
        </is>
      </c>
      <c r="B13" s="5" t="n"/>
      <c r="C13" s="6" t="n"/>
      <c r="D13" s="6">
        <f>SUM(D11+D12)</f>
        <v/>
      </c>
      <c r="E13" s="6">
        <f>SUM(E11+E12)</f>
        <v/>
      </c>
      <c r="F13" s="6">
        <f>SUM(F11+F12)</f>
        <v/>
      </c>
      <c r="G13" s="6" t="n"/>
    </row>
  </sheetData>
  <mergeCells count="16">
    <mergeCell ref="A5:A6"/>
    <mergeCell ref="D5:F5"/>
    <mergeCell ref="D8:F8"/>
    <mergeCell ref="A9:A10"/>
    <mergeCell ref="A11:B11"/>
    <mergeCell ref="A3:A4"/>
    <mergeCell ref="A7:A8"/>
    <mergeCell ref="A13:B13"/>
    <mergeCell ref="C1:C2"/>
    <mergeCell ref="B1:B2"/>
    <mergeCell ref="D1:D2"/>
    <mergeCell ref="E1:E2"/>
    <mergeCell ref="F1:F2"/>
    <mergeCell ref="G1:G2"/>
    <mergeCell ref="A12:B12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30.45" customWidth="1" min="10" max="10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 xml:space="preserve">Cubical </t>
        </is>
      </c>
      <c r="E1" s="1" t="inlineStr">
        <is>
          <t xml:space="preserve">Pedal Bins </t>
        </is>
      </c>
      <c r="F1" s="1" t="inlineStr">
        <is>
          <t xml:space="preserve">Toilet Roll Dispenser </t>
        </is>
      </c>
      <c r="G1" s="1" t="inlineStr">
        <is>
          <t xml:space="preserve">Urinal </t>
        </is>
      </c>
      <c r="H1" s="1" t="inlineStr">
        <is>
          <t xml:space="preserve">Washbasin </t>
        </is>
      </c>
      <c r="I1" s="1" t="inlineStr">
        <is>
          <t xml:space="preserve">Tissue Dispensers </t>
        </is>
      </c>
      <c r="J1" s="1" t="inlineStr">
        <is>
          <t>Remarks</t>
        </is>
      </c>
    </row>
    <row r="2" ht="44.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3.65" customHeight="1">
      <c r="A3" s="2" t="inlineStr">
        <is>
          <t>P6 gym side</t>
        </is>
      </c>
      <c r="B3" s="2" t="n">
        <v>1</v>
      </c>
      <c r="C3" s="2" t="inlineStr">
        <is>
          <t>Male</t>
        </is>
      </c>
      <c r="D3" s="2" t="n">
        <v>10</v>
      </c>
      <c r="E3" s="2" t="n">
        <v>10</v>
      </c>
      <c r="F3" s="2" t="n">
        <v>10</v>
      </c>
      <c r="G3" s="2" t="n">
        <v>4</v>
      </c>
      <c r="H3" s="2" t="n">
        <v>10</v>
      </c>
      <c r="I3" s="2" t="n">
        <v>0</v>
      </c>
      <c r="J3" s="2" t="n"/>
    </row>
    <row r="4" ht="33.65" customHeight="1">
      <c r="A4" s="3" t="n"/>
      <c r="B4" s="2" t="n">
        <v>2</v>
      </c>
      <c r="C4" s="2" t="inlineStr">
        <is>
          <t>Female</t>
        </is>
      </c>
      <c r="D4" s="2" t="n">
        <v>10</v>
      </c>
      <c r="E4" s="2" t="n">
        <v>10</v>
      </c>
      <c r="F4" s="2" t="n">
        <v>10</v>
      </c>
      <c r="G4" s="2" t="n">
        <v>0</v>
      </c>
      <c r="H4" s="2" t="n">
        <v>11</v>
      </c>
      <c r="I4" s="2" t="n">
        <v>0</v>
      </c>
      <c r="J4" s="2" t="n"/>
    </row>
    <row r="5" ht="33.65" customHeight="1">
      <c r="A5" s="2" t="inlineStr">
        <is>
          <t>P6 FC Near Cereal society</t>
        </is>
      </c>
      <c r="B5" s="2" t="n">
        <v>1</v>
      </c>
      <c r="C5" s="2" t="inlineStr">
        <is>
          <t>Male</t>
        </is>
      </c>
      <c r="D5" s="2" t="n"/>
      <c r="E5" s="2" t="n"/>
      <c r="F5" s="2" t="n"/>
      <c r="G5" s="2" t="n"/>
      <c r="H5" s="2" t="n"/>
      <c r="I5" s="2" t="n"/>
      <c r="J5" s="2" t="inlineStr">
        <is>
          <t>Under Lulu</t>
        </is>
      </c>
    </row>
    <row r="6" ht="33.65" customHeight="1">
      <c r="A6" s="3" t="n"/>
      <c r="B6" s="2" t="n">
        <v>2</v>
      </c>
      <c r="C6" s="2" t="inlineStr">
        <is>
          <t>Female</t>
        </is>
      </c>
      <c r="D6" s="2" t="n"/>
      <c r="E6" s="2" t="n"/>
      <c r="F6" s="2" t="n"/>
      <c r="G6" s="2" t="n"/>
      <c r="H6" s="2" t="n"/>
      <c r="I6" s="2" t="n"/>
      <c r="J6" s="2" t="n"/>
    </row>
    <row r="7" ht="33.65" customHeight="1">
      <c r="A7" s="2" t="inlineStr">
        <is>
          <t xml:space="preserve">Near LuLu </t>
        </is>
      </c>
      <c r="B7" s="2" t="n">
        <v>1</v>
      </c>
      <c r="C7" s="2" t="inlineStr">
        <is>
          <t>Male</t>
        </is>
      </c>
      <c r="D7" s="2" t="n">
        <v>6</v>
      </c>
      <c r="E7" s="2" t="n">
        <v>6</v>
      </c>
      <c r="F7" s="2" t="n">
        <v>0</v>
      </c>
      <c r="G7" s="2" t="n">
        <v>6</v>
      </c>
      <c r="H7" s="2" t="n">
        <v>6</v>
      </c>
      <c r="I7" s="2" t="n">
        <v>2</v>
      </c>
      <c r="J7" s="2" t="n"/>
    </row>
    <row r="8" ht="33.65" customHeight="1">
      <c r="A8" s="3" t="n"/>
      <c r="B8" s="2" t="n">
        <v>2</v>
      </c>
      <c r="C8" s="2" t="inlineStr">
        <is>
          <t>Female</t>
        </is>
      </c>
      <c r="D8" s="2" t="n">
        <v>6</v>
      </c>
      <c r="E8" s="2" t="n">
        <v>6</v>
      </c>
      <c r="F8" s="2" t="n">
        <v>0</v>
      </c>
      <c r="G8" s="2" t="n">
        <v>0</v>
      </c>
      <c r="H8" s="2" t="n">
        <v>6</v>
      </c>
      <c r="I8" s="2" t="n">
        <v>3</v>
      </c>
      <c r="J8" s="2" t="n"/>
    </row>
    <row r="9" ht="33.65" customHeight="1">
      <c r="A9" s="2" t="inlineStr">
        <is>
          <t xml:space="preserve">P4 Bridge side </t>
        </is>
      </c>
      <c r="B9" s="2" t="n">
        <v>1</v>
      </c>
      <c r="C9" s="2" t="inlineStr">
        <is>
          <t>Male</t>
        </is>
      </c>
      <c r="D9" s="2" t="n">
        <v>2</v>
      </c>
      <c r="E9" s="2" t="n">
        <v>2</v>
      </c>
      <c r="F9" s="2" t="n">
        <v>2</v>
      </c>
      <c r="G9" s="2" t="n">
        <v>2</v>
      </c>
      <c r="H9" s="2" t="n">
        <v>2</v>
      </c>
      <c r="I9" s="2" t="n">
        <v>0</v>
      </c>
      <c r="J9" s="2" t="n"/>
    </row>
    <row r="10" ht="33.65" customHeight="1">
      <c r="A10" s="3" t="n"/>
      <c r="B10" s="2" t="n">
        <v>2</v>
      </c>
      <c r="C10" s="2" t="inlineStr">
        <is>
          <t>Female</t>
        </is>
      </c>
      <c r="D10" s="2" t="n">
        <v>2</v>
      </c>
      <c r="E10" s="2" t="n">
        <v>2</v>
      </c>
      <c r="F10" s="2" t="n">
        <v>2</v>
      </c>
      <c r="G10" s="2" t="n">
        <v>0</v>
      </c>
      <c r="H10" s="2" t="n">
        <v>4</v>
      </c>
      <c r="I10" s="2" t="n">
        <v>0</v>
      </c>
      <c r="J10" s="2" t="n"/>
    </row>
    <row r="11" ht="33.65" customHeight="1">
      <c r="A11" s="2" t="inlineStr">
        <is>
          <t>P4 Food Court</t>
        </is>
      </c>
      <c r="B11" s="2" t="n">
        <v>1</v>
      </c>
      <c r="C11" s="2" t="inlineStr">
        <is>
          <t>Male</t>
        </is>
      </c>
      <c r="D11" s="2" t="n">
        <v>2</v>
      </c>
      <c r="E11" s="2" t="n">
        <v>2</v>
      </c>
      <c r="F11" s="2" t="n">
        <v>2</v>
      </c>
      <c r="G11" s="2" t="n">
        <v>2</v>
      </c>
      <c r="H11" s="2" t="n">
        <v>2</v>
      </c>
      <c r="I11" s="2" t="n">
        <v>0</v>
      </c>
      <c r="J11" s="2" t="n"/>
    </row>
    <row r="12" ht="33.65" customHeight="1">
      <c r="A12" s="3" t="n"/>
      <c r="B12" s="2" t="n">
        <v>2</v>
      </c>
      <c r="C12" s="2" t="inlineStr">
        <is>
          <t>Female</t>
        </is>
      </c>
      <c r="D12" s="2" t="n">
        <v>2</v>
      </c>
      <c r="E12" s="2" t="n">
        <v>2</v>
      </c>
      <c r="F12" s="2" t="n">
        <v>2</v>
      </c>
      <c r="G12" s="2" t="n">
        <v>0</v>
      </c>
      <c r="H12" s="2" t="n">
        <v>4</v>
      </c>
      <c r="I12" s="2" t="n">
        <v>0</v>
      </c>
      <c r="J12" s="2" t="n"/>
    </row>
    <row r="13" ht="33.65" customHeight="1">
      <c r="A13" s="2" t="inlineStr">
        <is>
          <t>P1 Bridge side</t>
        </is>
      </c>
      <c r="B13" s="2" t="n">
        <v>1</v>
      </c>
      <c r="C13" s="2" t="inlineStr">
        <is>
          <t>Male</t>
        </is>
      </c>
      <c r="D13" s="2" t="n">
        <v>1</v>
      </c>
      <c r="E13" s="2" t="n">
        <v>1</v>
      </c>
      <c r="F13" s="2" t="n">
        <v>1</v>
      </c>
      <c r="G13" s="2" t="n">
        <v>2</v>
      </c>
      <c r="H13" s="2" t="n">
        <v>1</v>
      </c>
      <c r="I13" s="2" t="n">
        <v>0</v>
      </c>
      <c r="J13" s="2" t="n"/>
    </row>
    <row r="14" ht="33.65" customHeight="1">
      <c r="A14" s="3" t="n"/>
      <c r="B14" s="2" t="n">
        <v>2</v>
      </c>
      <c r="C14" s="2" t="inlineStr">
        <is>
          <t>Female</t>
        </is>
      </c>
      <c r="D14" s="2" t="n">
        <v>1</v>
      </c>
      <c r="E14" s="2" t="n">
        <v>1</v>
      </c>
      <c r="F14" s="2" t="n">
        <v>1</v>
      </c>
      <c r="G14" s="2" t="n">
        <v>0</v>
      </c>
      <c r="H14" s="2" t="n">
        <v>1</v>
      </c>
      <c r="I14" s="2" t="n">
        <v>0</v>
      </c>
      <c r="J14" s="2" t="n"/>
    </row>
    <row r="15" ht="33.65" customHeight="1">
      <c r="A15" s="2" t="inlineStr">
        <is>
          <t>P1 Food Court side</t>
        </is>
      </c>
      <c r="B15" s="2" t="n">
        <v>1</v>
      </c>
      <c r="C15" s="2" t="inlineStr">
        <is>
          <t>Male</t>
        </is>
      </c>
      <c r="D15" s="2" t="n">
        <v>1</v>
      </c>
      <c r="E15" s="2" t="n">
        <v>1</v>
      </c>
      <c r="F15" s="2" t="n">
        <v>1</v>
      </c>
      <c r="G15" s="2" t="n">
        <v>2</v>
      </c>
      <c r="H15" s="2" t="n">
        <v>1</v>
      </c>
      <c r="I15" s="2" t="n">
        <v>0</v>
      </c>
      <c r="J15" s="2" t="n"/>
    </row>
    <row r="16" ht="33.65" customHeight="1">
      <c r="A16" s="3" t="n"/>
      <c r="B16" s="2" t="n">
        <v>2</v>
      </c>
      <c r="C16" s="2" t="inlineStr">
        <is>
          <t>Female</t>
        </is>
      </c>
      <c r="D16" s="2" t="n">
        <v>1</v>
      </c>
      <c r="E16" s="2" t="n">
        <v>1</v>
      </c>
      <c r="F16" s="2" t="n">
        <v>1</v>
      </c>
      <c r="G16" s="2" t="n">
        <v>0</v>
      </c>
      <c r="H16" s="2" t="n">
        <v>1</v>
      </c>
      <c r="I16" s="2" t="n">
        <v>0</v>
      </c>
      <c r="J16" s="2" t="n"/>
    </row>
    <row r="17" ht="33.65" customHeight="1">
      <c r="A17" s="4" t="n"/>
      <c r="B17" s="5" t="n"/>
      <c r="C17" s="6" t="n"/>
      <c r="D17" s="6">
        <f>SUM(D3:D16)</f>
        <v/>
      </c>
      <c r="E17" s="6">
        <f>SUM(E3:E16)</f>
        <v/>
      </c>
      <c r="F17" s="6">
        <f>SUM(F3:F16)</f>
        <v/>
      </c>
      <c r="G17" s="6">
        <f>SUM(G3:G16)</f>
        <v/>
      </c>
      <c r="H17" s="6">
        <f>SUM(H3:H16)</f>
        <v/>
      </c>
      <c r="I17" s="6">
        <f>SUM(I3:I16)</f>
        <v/>
      </c>
      <c r="J17" s="6" t="n"/>
    </row>
  </sheetData>
  <mergeCells count="18">
    <mergeCell ref="A5:A6"/>
    <mergeCell ref="I1:I2"/>
    <mergeCell ref="A9:A10"/>
    <mergeCell ref="A13:A14"/>
    <mergeCell ref="A3:A4"/>
    <mergeCell ref="A15:A16"/>
    <mergeCell ref="A7:A8"/>
    <mergeCell ref="C1:C2"/>
    <mergeCell ref="B1:B2"/>
    <mergeCell ref="D1:D2"/>
    <mergeCell ref="E1:E2"/>
    <mergeCell ref="F1:F2"/>
    <mergeCell ref="G1:G2"/>
    <mergeCell ref="A17:B17"/>
    <mergeCell ref="J1:J2"/>
    <mergeCell ref="H1:H2"/>
    <mergeCell ref="A11:A12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30.45" customWidth="1" min="7" max="7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 xml:space="preserve">Wcs </t>
        </is>
      </c>
      <c r="E1" s="1" t="inlineStr">
        <is>
          <t xml:space="preserve">Pedal Bins </t>
        </is>
      </c>
      <c r="F1" s="1" t="inlineStr">
        <is>
          <t xml:space="preserve">Washbasin </t>
        </is>
      </c>
      <c r="G1" s="1" t="inlineStr">
        <is>
          <t>Remarks</t>
        </is>
      </c>
    </row>
    <row r="2" ht="44.15" customHeight="1">
      <c r="A2" s="1" t="n"/>
      <c r="B2" s="1" t="n"/>
      <c r="C2" s="1" t="n"/>
      <c r="D2" s="1" t="n"/>
      <c r="E2" s="1" t="n"/>
      <c r="F2" s="1" t="n"/>
      <c r="G2" s="1" t="n"/>
    </row>
    <row r="3" ht="33.65" customHeight="1">
      <c r="A3" s="2" t="inlineStr">
        <is>
          <t>P6 gym side</t>
        </is>
      </c>
      <c r="B3" s="2" t="n">
        <v>1</v>
      </c>
      <c r="C3" s="2" t="inlineStr">
        <is>
          <t>Male</t>
        </is>
      </c>
      <c r="D3" s="2" t="n">
        <v>1</v>
      </c>
      <c r="E3" s="2" t="n">
        <v>1</v>
      </c>
      <c r="F3" s="2" t="n">
        <v>1</v>
      </c>
      <c r="G3" s="2" t="n"/>
    </row>
    <row r="4" ht="33.65" customHeight="1">
      <c r="A4" s="7" t="n"/>
      <c r="B4" s="2" t="n">
        <v>2</v>
      </c>
      <c r="C4" s="2" t="inlineStr">
        <is>
          <t>Female</t>
        </is>
      </c>
      <c r="D4" s="2" t="n">
        <v>1</v>
      </c>
      <c r="E4" s="2" t="n">
        <v>1</v>
      </c>
      <c r="F4" s="2" t="n">
        <v>1</v>
      </c>
      <c r="G4" s="2" t="n"/>
    </row>
    <row r="5" ht="33.65" customHeight="1">
      <c r="A5" s="7" t="n"/>
      <c r="B5" s="2" t="n">
        <v>3</v>
      </c>
      <c r="C5" s="2" t="n"/>
      <c r="D5" s="2" t="n"/>
      <c r="E5" s="2" t="n"/>
      <c r="F5" s="2" t="n"/>
      <c r="G5" s="2" t="inlineStr">
        <is>
          <t xml:space="preserve">Under Renovation </t>
        </is>
      </c>
    </row>
    <row r="6" ht="33.65" customHeight="1">
      <c r="A6" s="3" t="n"/>
      <c r="B6" s="2" t="n">
        <v>4</v>
      </c>
      <c r="C6" s="2" t="n"/>
      <c r="D6" s="2" t="n"/>
      <c r="E6" s="2" t="n"/>
      <c r="F6" s="2" t="n"/>
      <c r="G6" s="2" t="n"/>
    </row>
    <row r="7" ht="33.65" customHeight="1">
      <c r="A7" s="2" t="inlineStr">
        <is>
          <t xml:space="preserve">Near LuLu </t>
        </is>
      </c>
      <c r="B7" s="2" t="n">
        <v>1</v>
      </c>
      <c r="C7" s="2" t="inlineStr">
        <is>
          <t>Male</t>
        </is>
      </c>
      <c r="D7" s="2" t="n">
        <v>1</v>
      </c>
      <c r="E7" s="2" t="n">
        <v>1</v>
      </c>
      <c r="F7" s="2" t="n">
        <v>1</v>
      </c>
      <c r="G7" s="2" t="inlineStr">
        <is>
          <t xml:space="preserve">No Soap and tissue dispenser after renovation </t>
        </is>
      </c>
    </row>
    <row r="8" ht="33.65" customHeight="1">
      <c r="A8" s="3" t="n"/>
      <c r="B8" s="2" t="n">
        <v>2</v>
      </c>
      <c r="C8" s="2" t="inlineStr">
        <is>
          <t>Female</t>
        </is>
      </c>
      <c r="D8" s="2" t="n">
        <v>1</v>
      </c>
      <c r="E8" s="2" t="n">
        <v>1</v>
      </c>
      <c r="F8" s="2" t="n">
        <v>1</v>
      </c>
      <c r="G8" s="2" t="n"/>
    </row>
    <row r="9" ht="33.65" customHeight="1">
      <c r="A9" s="2" t="inlineStr">
        <is>
          <t xml:space="preserve">P4 Bridge side </t>
        </is>
      </c>
      <c r="B9" s="2" t="n">
        <v>1</v>
      </c>
      <c r="C9" s="2" t="inlineStr">
        <is>
          <t>Male</t>
        </is>
      </c>
      <c r="D9" s="2" t="n">
        <v>1</v>
      </c>
      <c r="E9" s="2" t="n">
        <v>1</v>
      </c>
      <c r="F9" s="2" t="n">
        <v>1</v>
      </c>
      <c r="G9" s="2" t="n"/>
    </row>
    <row r="10" ht="33.65" customHeight="1">
      <c r="A10" s="7" t="n"/>
      <c r="B10" s="2" t="n">
        <v>2</v>
      </c>
      <c r="C10" s="2" t="inlineStr">
        <is>
          <t>Female</t>
        </is>
      </c>
      <c r="D10" s="2" t="n"/>
      <c r="E10" s="2" t="n"/>
      <c r="F10" s="2" t="n"/>
      <c r="G10" s="2" t="n"/>
    </row>
    <row r="11" ht="33.65" customHeight="1">
      <c r="A11" s="7" t="n"/>
      <c r="B11" s="2" t="n">
        <v>3</v>
      </c>
      <c r="C11" s="2" t="inlineStr">
        <is>
          <t>Male</t>
        </is>
      </c>
      <c r="D11" s="2" t="n">
        <v>1</v>
      </c>
      <c r="E11" s="2" t="n">
        <v>1</v>
      </c>
      <c r="F11" s="2" t="n">
        <v>1</v>
      </c>
      <c r="G11" s="2" t="n"/>
    </row>
    <row r="12" ht="33.65" customHeight="1">
      <c r="A12" s="3" t="n"/>
      <c r="B12" s="2" t="n">
        <v>4</v>
      </c>
      <c r="C12" s="2" t="inlineStr">
        <is>
          <t>Female</t>
        </is>
      </c>
      <c r="D12" s="2" t="n"/>
      <c r="E12" s="2" t="n"/>
      <c r="F12" s="2" t="n"/>
      <c r="G12" s="2" t="n"/>
    </row>
    <row r="13" ht="33.65" customHeight="1">
      <c r="A13" s="2" t="inlineStr">
        <is>
          <t>P1 Bridge  side</t>
        </is>
      </c>
      <c r="B13" s="2" t="n">
        <v>1</v>
      </c>
      <c r="C13" s="2" t="inlineStr">
        <is>
          <t>Male</t>
        </is>
      </c>
      <c r="D13" s="2" t="n">
        <v>1</v>
      </c>
      <c r="E13" s="2" t="n">
        <v>1</v>
      </c>
      <c r="F13" s="2" t="n">
        <v>1</v>
      </c>
      <c r="G13" s="2" t="n"/>
    </row>
    <row r="14" ht="33.65" customHeight="1">
      <c r="A14" s="2" t="inlineStr">
        <is>
          <t>P1 FC side</t>
        </is>
      </c>
      <c r="B14" s="2" t="n">
        <v>1</v>
      </c>
      <c r="C14" s="2" t="inlineStr">
        <is>
          <t>Female</t>
        </is>
      </c>
      <c r="D14" s="2" t="n">
        <v>1</v>
      </c>
      <c r="E14" s="2" t="n">
        <v>1</v>
      </c>
      <c r="F14" s="2" t="n">
        <v>1</v>
      </c>
      <c r="G14" s="2" t="n"/>
    </row>
    <row r="15" ht="33.65" customHeight="1">
      <c r="A15" s="4" t="n"/>
      <c r="B15" s="5" t="n"/>
      <c r="C15" s="6" t="n"/>
      <c r="D15" s="6">
        <f>SUM(D3:D14)</f>
        <v/>
      </c>
      <c r="E15" s="6">
        <f>SUM(E3:E14)</f>
        <v/>
      </c>
      <c r="F15" s="6">
        <f>SUM(F3:F14)</f>
        <v/>
      </c>
      <c r="G15" s="6" t="n"/>
    </row>
  </sheetData>
  <mergeCells count="11">
    <mergeCell ref="A15:B15"/>
    <mergeCell ref="A9:A12"/>
    <mergeCell ref="A3:A6"/>
    <mergeCell ref="A7:A8"/>
    <mergeCell ref="C1:C2"/>
    <mergeCell ref="B1:B2"/>
    <mergeCell ref="D1:D2"/>
    <mergeCell ref="E1:E2"/>
    <mergeCell ref="F1:F2"/>
    <mergeCell ref="G1:G2"/>
    <mergeCell ref="A1:A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WCs</t>
        </is>
      </c>
      <c r="E1" s="1" t="inlineStr">
        <is>
          <t xml:space="preserve">Pedal Bins </t>
        </is>
      </c>
      <c r="F1" s="1" t="inlineStr">
        <is>
          <t xml:space="preserve">Toilet Rolls Dispenser </t>
        </is>
      </c>
      <c r="G1" s="1" t="inlineStr">
        <is>
          <t xml:space="preserve">Urinal </t>
        </is>
      </c>
      <c r="H1" s="1" t="inlineStr">
        <is>
          <t xml:space="preserve">Washbasin </t>
        </is>
      </c>
      <c r="I1" s="1" t="inlineStr">
        <is>
          <t>Remarks</t>
        </is>
      </c>
    </row>
    <row r="2" ht="44.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33.65" customHeight="1">
      <c r="A3" s="2" t="inlineStr">
        <is>
          <t xml:space="preserve">GF China Town </t>
        </is>
      </c>
      <c r="B3" s="2" t="n">
        <v>1</v>
      </c>
      <c r="C3" s="2" t="inlineStr">
        <is>
          <t>Male WR</t>
        </is>
      </c>
      <c r="D3" s="2" t="n">
        <v>4</v>
      </c>
      <c r="E3" s="2" t="n">
        <v>4</v>
      </c>
      <c r="F3" s="2" t="n">
        <v>4</v>
      </c>
      <c r="G3" s="2" t="n">
        <v>2</v>
      </c>
      <c r="H3" s="2" t="n">
        <v>4</v>
      </c>
      <c r="I3" s="2" t="n"/>
    </row>
    <row r="4" ht="33.65" customHeight="1">
      <c r="A4" s="3" t="n"/>
      <c r="B4" s="2" t="n">
        <v>2</v>
      </c>
      <c r="C4" s="2" t="inlineStr">
        <is>
          <t>Female WR</t>
        </is>
      </c>
      <c r="D4" s="2" t="n">
        <v>5</v>
      </c>
      <c r="E4" s="2" t="n">
        <v>5</v>
      </c>
      <c r="F4" s="2" t="n">
        <v>5</v>
      </c>
      <c r="G4" s="2" t="n">
        <v>0</v>
      </c>
      <c r="H4" s="2" t="n">
        <v>4</v>
      </c>
      <c r="I4" s="2" t="n"/>
    </row>
    <row r="5" ht="33.65" customHeight="1">
      <c r="A5" s="2" t="inlineStr">
        <is>
          <t xml:space="preserve">FF China town </t>
        </is>
      </c>
      <c r="B5" s="2" t="n">
        <v>1</v>
      </c>
      <c r="C5" s="2" t="inlineStr">
        <is>
          <t>Male WR</t>
        </is>
      </c>
      <c r="D5" s="2" t="n">
        <v>15</v>
      </c>
      <c r="E5" s="2" t="n">
        <v>15</v>
      </c>
      <c r="F5" s="2" t="n">
        <v>15</v>
      </c>
      <c r="G5" s="2" t="n">
        <v>7</v>
      </c>
      <c r="H5" s="2" t="n">
        <v>16</v>
      </c>
      <c r="I5" s="2" t="n"/>
    </row>
    <row r="6" ht="33.65" customHeight="1">
      <c r="A6" s="3" t="n"/>
      <c r="B6" s="2" t="n">
        <v>2</v>
      </c>
      <c r="C6" s="2" t="inlineStr">
        <is>
          <t>Female WR</t>
        </is>
      </c>
      <c r="D6" s="2" t="n">
        <v>22</v>
      </c>
      <c r="E6" s="2" t="n">
        <v>22</v>
      </c>
      <c r="F6" s="2" t="n">
        <v>22</v>
      </c>
      <c r="G6" s="2" t="n">
        <v>0</v>
      </c>
      <c r="H6" s="2" t="n">
        <v>12</v>
      </c>
      <c r="I6" s="2" t="n"/>
    </row>
    <row r="7" ht="33.65" customHeight="1">
      <c r="A7" s="2" t="inlineStr">
        <is>
          <t xml:space="preserve">Food Court Sattf washroom </t>
        </is>
      </c>
      <c r="B7" s="2" t="n">
        <v>1</v>
      </c>
      <c r="C7" s="2" t="inlineStr">
        <is>
          <t>Male WR</t>
        </is>
      </c>
      <c r="D7" s="2" t="n">
        <v>1</v>
      </c>
      <c r="E7" s="2" t="n">
        <v>1</v>
      </c>
      <c r="F7" s="2" t="n">
        <v>1</v>
      </c>
      <c r="G7" s="2" t="n">
        <v>0</v>
      </c>
      <c r="H7" s="2" t="n">
        <v>1</v>
      </c>
      <c r="I7" s="2" t="n"/>
    </row>
    <row r="8" ht="33.65" customHeight="1">
      <c r="A8" s="3" t="n"/>
      <c r="B8" s="2" t="n">
        <v>2</v>
      </c>
      <c r="C8" s="2" t="inlineStr">
        <is>
          <t>Female WR</t>
        </is>
      </c>
      <c r="D8" s="2" t="n">
        <v>1</v>
      </c>
      <c r="E8" s="2" t="n">
        <v>1</v>
      </c>
      <c r="F8" s="2" t="n">
        <v>1</v>
      </c>
      <c r="G8" s="2" t="n">
        <v>0</v>
      </c>
      <c r="H8" s="2" t="n">
        <v>1</v>
      </c>
      <c r="I8" s="2" t="n"/>
    </row>
    <row r="9" ht="33.65" customHeight="1">
      <c r="A9" s="4" t="inlineStr">
        <is>
          <t xml:space="preserve">Total </t>
        </is>
      </c>
      <c r="B9" s="5" t="n"/>
      <c r="C9" s="6" t="inlineStr">
        <is>
          <t>Male WR</t>
        </is>
      </c>
      <c r="D9" s="6">
        <f>SUM(D3+D5+D7)</f>
        <v/>
      </c>
      <c r="E9" s="6">
        <f>SUM(E3+E5+E7)</f>
        <v/>
      </c>
      <c r="F9" s="6">
        <f>SUM(F3+F5+F7)</f>
        <v/>
      </c>
      <c r="G9" s="6">
        <f>SUM(G3+G5+G7)</f>
        <v/>
      </c>
      <c r="H9" s="6">
        <f>SUM(H3+H5+H7)</f>
        <v/>
      </c>
      <c r="I9" s="6" t="n"/>
    </row>
    <row r="10" ht="33.65" customHeight="1">
      <c r="A10" s="4" t="n"/>
      <c r="B10" s="5" t="n"/>
      <c r="C10" s="6" t="inlineStr">
        <is>
          <t>Female WR</t>
        </is>
      </c>
      <c r="D10" s="6">
        <f>SUM(D4+D6+D8)</f>
        <v/>
      </c>
      <c r="E10" s="6">
        <f>SUM(E4+E6+E8)</f>
        <v/>
      </c>
      <c r="F10" s="6">
        <f>SUM(F4+F6+F8)</f>
        <v/>
      </c>
      <c r="G10" s="6">
        <f>SUM(G4+G6+G8)</f>
        <v/>
      </c>
      <c r="H10" s="6">
        <f>SUM(H4+H6+H8)</f>
        <v/>
      </c>
      <c r="I10" s="6" t="n"/>
    </row>
    <row r="11" ht="33.65" customHeight="1">
      <c r="A11" s="4" t="inlineStr">
        <is>
          <t xml:space="preserve">Subtotal </t>
        </is>
      </c>
      <c r="B11" s="5" t="n"/>
      <c r="C11" s="6" t="n"/>
      <c r="D11" s="6">
        <f>SUM(D9+D10)</f>
        <v/>
      </c>
      <c r="E11" s="6">
        <f>SUM(E9+E10)</f>
        <v/>
      </c>
      <c r="F11" s="6">
        <f>SUM(F9+F10)</f>
        <v/>
      </c>
      <c r="G11" s="6">
        <f>SUM(G9+G10)</f>
        <v/>
      </c>
      <c r="H11" s="6">
        <f>SUM(H9+H10)</f>
        <v/>
      </c>
      <c r="I11" s="6" t="n"/>
    </row>
  </sheetData>
  <mergeCells count="15">
    <mergeCell ref="A5:A6"/>
    <mergeCell ref="I1:I2"/>
    <mergeCell ref="A9:B9"/>
    <mergeCell ref="A11:B11"/>
    <mergeCell ref="A10:B10"/>
    <mergeCell ref="A3:A4"/>
    <mergeCell ref="A7:A8"/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30.45" customWidth="1" min="8" max="8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Wcs</t>
        </is>
      </c>
      <c r="E1" s="1" t="inlineStr">
        <is>
          <t xml:space="preserve">Pedal Bins </t>
        </is>
      </c>
      <c r="F1" s="1" t="inlineStr">
        <is>
          <t xml:space="preserve">Toilet Rolls Dispenser </t>
        </is>
      </c>
      <c r="G1" s="1" t="inlineStr">
        <is>
          <t xml:space="preserve">Washbasin </t>
        </is>
      </c>
      <c r="H1" s="1" t="inlineStr">
        <is>
          <t>Remarks</t>
        </is>
      </c>
    </row>
    <row r="2" ht="44.15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33.65" customHeight="1">
      <c r="A3" s="2" t="inlineStr">
        <is>
          <t xml:space="preserve">GF China Town </t>
        </is>
      </c>
      <c r="B3" s="2" t="n">
        <v>1</v>
      </c>
      <c r="C3" s="2" t="inlineStr">
        <is>
          <t>Male WR</t>
        </is>
      </c>
      <c r="D3" s="2" t="n">
        <v>1</v>
      </c>
      <c r="E3" s="2" t="n">
        <v>1</v>
      </c>
      <c r="F3" s="2" t="n">
        <v>1</v>
      </c>
      <c r="G3" s="2" t="n">
        <v>1</v>
      </c>
      <c r="H3" s="2" t="n"/>
    </row>
    <row r="4" ht="33.65" customHeight="1">
      <c r="A4" s="3" t="n"/>
      <c r="B4" s="2" t="n">
        <v>2</v>
      </c>
      <c r="C4" s="2" t="inlineStr">
        <is>
          <t>Female WR</t>
        </is>
      </c>
      <c r="D4" s="2" t="n"/>
      <c r="E4" s="2" t="n"/>
      <c r="F4" s="2" t="n"/>
      <c r="G4" s="2" t="n"/>
      <c r="H4" s="2" t="n"/>
    </row>
    <row r="5" ht="33.65" customHeight="1">
      <c r="A5" s="2" t="inlineStr">
        <is>
          <t xml:space="preserve">FF China Town </t>
        </is>
      </c>
      <c r="B5" s="2" t="n">
        <v>1</v>
      </c>
      <c r="C5" s="2" t="inlineStr">
        <is>
          <t>Male WR</t>
        </is>
      </c>
      <c r="D5" s="2" t="n">
        <v>1</v>
      </c>
      <c r="E5" s="2" t="n">
        <v>1</v>
      </c>
      <c r="F5" s="2" t="n">
        <v>1</v>
      </c>
      <c r="G5" s="2" t="n">
        <v>1</v>
      </c>
      <c r="H5" s="2" t="n"/>
    </row>
    <row r="6" ht="33.65" customHeight="1">
      <c r="A6" s="3" t="n"/>
      <c r="B6" s="2" t="n">
        <v>2</v>
      </c>
      <c r="C6" s="2" t="inlineStr">
        <is>
          <t>Female WR</t>
        </is>
      </c>
      <c r="D6" s="2" t="n">
        <v>1</v>
      </c>
      <c r="E6" s="2" t="n">
        <v>1</v>
      </c>
      <c r="F6" s="2" t="n">
        <v>1</v>
      </c>
      <c r="G6" s="2" t="n">
        <v>1</v>
      </c>
      <c r="H6" s="2" t="n"/>
    </row>
    <row r="7" ht="33.65" customHeight="1">
      <c r="A7" s="4" t="inlineStr">
        <is>
          <t xml:space="preserve">Total </t>
        </is>
      </c>
      <c r="B7" s="5" t="n"/>
      <c r="C7" s="6" t="inlineStr">
        <is>
          <t>Male WR</t>
        </is>
      </c>
      <c r="D7" s="6">
        <f>SUM(D3+D5)</f>
        <v/>
      </c>
      <c r="E7" s="6">
        <f>SUM(E3+E5)</f>
        <v/>
      </c>
      <c r="F7" s="6">
        <f>SUM(F3+F5)</f>
        <v/>
      </c>
      <c r="G7" s="6">
        <f>SUM(G3+G5)</f>
        <v/>
      </c>
      <c r="H7" s="6" t="n"/>
    </row>
    <row r="8" ht="33.65" customHeight="1">
      <c r="A8" s="4" t="n"/>
      <c r="B8" s="5" t="n"/>
      <c r="C8" s="6" t="inlineStr">
        <is>
          <t>Female WR</t>
        </is>
      </c>
      <c r="D8" s="6">
        <f>SUM(D4+D6)</f>
        <v/>
      </c>
      <c r="E8" s="6">
        <f>SUM(E4+E6)</f>
        <v/>
      </c>
      <c r="F8" s="6">
        <f>SUM(F4+F6)</f>
        <v/>
      </c>
      <c r="G8" s="6">
        <f>SUM(G4+G6)</f>
        <v/>
      </c>
      <c r="H8" s="6" t="n"/>
    </row>
    <row r="9" ht="33.65" customHeight="1">
      <c r="A9" s="4" t="inlineStr">
        <is>
          <t xml:space="preserve">Subtotal </t>
        </is>
      </c>
      <c r="B9" s="5" t="n"/>
      <c r="C9" s="6" t="n"/>
      <c r="D9" s="6">
        <f>SUM(D7+D8)</f>
        <v/>
      </c>
      <c r="E9" s="6">
        <f>SUM(E7+E8)</f>
        <v/>
      </c>
      <c r="F9" s="6">
        <f>SUM(F7+F8)</f>
        <v/>
      </c>
      <c r="G9" s="6">
        <f>SUM(G7+G8)</f>
        <v/>
      </c>
      <c r="H9" s="6" t="n"/>
    </row>
  </sheetData>
  <mergeCells count="13">
    <mergeCell ref="A5:A6"/>
    <mergeCell ref="A7:B7"/>
    <mergeCell ref="A9:B9"/>
    <mergeCell ref="A3:A4"/>
    <mergeCell ref="C1:C2"/>
    <mergeCell ref="B1:B2"/>
    <mergeCell ref="D1:D2"/>
    <mergeCell ref="E1:E2"/>
    <mergeCell ref="F1:F2"/>
    <mergeCell ref="G1:G2"/>
    <mergeCell ref="A8:B8"/>
    <mergeCell ref="H1:H2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 xml:space="preserve">Cubical </t>
        </is>
      </c>
      <c r="E1" s="1" t="inlineStr">
        <is>
          <t xml:space="preserve">Pedal Bins </t>
        </is>
      </c>
      <c r="F1" s="1" t="inlineStr">
        <is>
          <t xml:space="preserve">Toilet Rolls Dispenser </t>
        </is>
      </c>
      <c r="G1" s="1" t="inlineStr">
        <is>
          <t xml:space="preserve">Urinal </t>
        </is>
      </c>
      <c r="H1" s="1" t="inlineStr">
        <is>
          <t xml:space="preserve">Washbasin </t>
        </is>
      </c>
      <c r="I1" s="1" t="inlineStr">
        <is>
          <t>Remarks</t>
        </is>
      </c>
    </row>
    <row r="2" ht="44.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33.65" customHeight="1">
      <c r="A3" s="2" t="inlineStr">
        <is>
          <t>GF - Tower 1</t>
        </is>
      </c>
      <c r="B3" s="2" t="n">
        <v>1</v>
      </c>
      <c r="C3" s="2" t="inlineStr">
        <is>
          <t>Male WR</t>
        </is>
      </c>
      <c r="D3" s="2" t="n">
        <v>7</v>
      </c>
      <c r="E3" s="2" t="n">
        <v>7</v>
      </c>
      <c r="F3" s="2" t="n">
        <v>7</v>
      </c>
      <c r="G3" s="2" t="n">
        <v>5</v>
      </c>
      <c r="H3" s="2" t="n">
        <v>4</v>
      </c>
      <c r="I3" s="2" t="n"/>
    </row>
    <row r="4" ht="33.65" customHeight="1">
      <c r="A4" s="3" t="n"/>
      <c r="B4" s="2" t="n">
        <v>2</v>
      </c>
      <c r="C4" s="2" t="inlineStr">
        <is>
          <t>Female WR</t>
        </is>
      </c>
      <c r="D4" s="2" t="n">
        <v>9</v>
      </c>
      <c r="E4" s="2" t="n">
        <v>9</v>
      </c>
      <c r="F4" s="2" t="n">
        <v>9</v>
      </c>
      <c r="G4" s="2" t="n">
        <v>0</v>
      </c>
      <c r="H4" s="2" t="n">
        <v>5</v>
      </c>
      <c r="I4" s="2" t="n"/>
    </row>
    <row r="5" ht="33.65" customHeight="1">
      <c r="A5" s="2" t="inlineStr">
        <is>
          <t>LGM - Tower 1</t>
        </is>
      </c>
      <c r="B5" s="2" t="n">
        <v>1</v>
      </c>
      <c r="C5" s="2" t="inlineStr">
        <is>
          <t>Male WR</t>
        </is>
      </c>
      <c r="D5" s="2" t="n">
        <v>6</v>
      </c>
      <c r="E5" s="2" t="n">
        <v>6</v>
      </c>
      <c r="F5" s="2" t="n">
        <v>6</v>
      </c>
      <c r="G5" s="2" t="n">
        <v>5</v>
      </c>
      <c r="H5" s="2" t="n">
        <v>4</v>
      </c>
      <c r="I5" s="2" t="n"/>
    </row>
    <row r="6" ht="33.65" customHeight="1">
      <c r="A6" s="3" t="n"/>
      <c r="B6" s="2" t="n">
        <v>2</v>
      </c>
      <c r="C6" s="2" t="inlineStr">
        <is>
          <t>Female WR</t>
        </is>
      </c>
      <c r="D6" s="2" t="n">
        <v>9</v>
      </c>
      <c r="E6" s="2" t="n">
        <v>9</v>
      </c>
      <c r="F6" s="2" t="n">
        <v>9</v>
      </c>
      <c r="G6" s="2" t="n">
        <v>0</v>
      </c>
      <c r="H6" s="2" t="n">
        <v>5</v>
      </c>
      <c r="I6" s="2" t="n"/>
    </row>
    <row r="7" ht="33.65" customHeight="1">
      <c r="A7" s="2" t="inlineStr">
        <is>
          <t>P1- Tower 1</t>
        </is>
      </c>
      <c r="B7" s="2" t="n">
        <v>1</v>
      </c>
      <c r="C7" s="2" t="inlineStr">
        <is>
          <t>Male WR</t>
        </is>
      </c>
      <c r="D7" s="2" t="n">
        <v>10</v>
      </c>
      <c r="E7" s="2" t="n">
        <v>10</v>
      </c>
      <c r="F7" s="2" t="n">
        <v>10</v>
      </c>
      <c r="G7" s="2" t="n">
        <v>3</v>
      </c>
      <c r="H7" s="2" t="n">
        <v>4</v>
      </c>
      <c r="I7" s="2" t="n"/>
    </row>
    <row r="8" ht="33.65" customHeight="1">
      <c r="A8" s="3" t="n"/>
      <c r="B8" s="2" t="n">
        <v>2</v>
      </c>
      <c r="C8" s="2" t="inlineStr">
        <is>
          <t>Female WR</t>
        </is>
      </c>
      <c r="D8" s="2" t="n">
        <v>15</v>
      </c>
      <c r="E8" s="2" t="n">
        <v>15</v>
      </c>
      <c r="F8" s="2" t="n">
        <v>15</v>
      </c>
      <c r="G8" s="2" t="n">
        <v>0</v>
      </c>
      <c r="H8" s="2" t="n">
        <v>8</v>
      </c>
      <c r="I8" s="2" t="n"/>
    </row>
    <row r="9" ht="33.65" customHeight="1">
      <c r="A9" s="2" t="inlineStr">
        <is>
          <t xml:space="preserve">P1- Tower 1 -PR Side </t>
        </is>
      </c>
      <c r="B9" s="2" t="n">
        <v>1</v>
      </c>
      <c r="C9" s="2" t="inlineStr">
        <is>
          <t>Male WR</t>
        </is>
      </c>
      <c r="D9" s="2" t="n">
        <v>4</v>
      </c>
      <c r="E9" s="2" t="n">
        <v>4</v>
      </c>
      <c r="F9" s="2" t="n">
        <v>4</v>
      </c>
      <c r="G9" s="2" t="n">
        <v>3</v>
      </c>
      <c r="H9" s="2" t="n">
        <v>4</v>
      </c>
      <c r="I9" s="2" t="n"/>
    </row>
    <row r="10" ht="33.65" customHeight="1">
      <c r="A10" s="3" t="n"/>
      <c r="B10" s="2" t="n">
        <v>2</v>
      </c>
      <c r="C10" s="2" t="inlineStr">
        <is>
          <t>Female WR</t>
        </is>
      </c>
      <c r="D10" s="2" t="n">
        <v>8</v>
      </c>
      <c r="E10" s="2" t="n">
        <v>8</v>
      </c>
      <c r="F10" s="2" t="n">
        <v>8</v>
      </c>
      <c r="G10" s="2" t="n">
        <v>0</v>
      </c>
      <c r="H10" s="2" t="n">
        <v>4</v>
      </c>
      <c r="I10" s="2" t="n"/>
    </row>
    <row r="11" ht="33.65" customHeight="1">
      <c r="A11" s="2" t="inlineStr">
        <is>
          <t xml:space="preserve"> GF-Tower 2</t>
        </is>
      </c>
      <c r="B11" s="2" t="n">
        <v>1</v>
      </c>
      <c r="C11" s="2" t="inlineStr">
        <is>
          <t>Male WR</t>
        </is>
      </c>
      <c r="D11" s="2" t="n">
        <v>11</v>
      </c>
      <c r="E11" s="2" t="n">
        <v>11</v>
      </c>
      <c r="F11" s="2" t="n">
        <v>11</v>
      </c>
      <c r="G11" s="2" t="n">
        <v>12</v>
      </c>
      <c r="H11" s="2" t="n">
        <v>8</v>
      </c>
      <c r="I11" s="2" t="n"/>
    </row>
    <row r="12" ht="33.65" customHeight="1">
      <c r="A12" s="3" t="n"/>
      <c r="B12" s="2" t="n">
        <v>2</v>
      </c>
      <c r="C12" s="2" t="inlineStr">
        <is>
          <t>Female WR</t>
        </is>
      </c>
      <c r="D12" s="2" t="n">
        <v>11</v>
      </c>
      <c r="E12" s="2" t="n">
        <v>11</v>
      </c>
      <c r="F12" s="2" t="n">
        <v>11</v>
      </c>
      <c r="G12" s="2" t="n">
        <v>0</v>
      </c>
      <c r="H12" s="2" t="n">
        <v>8</v>
      </c>
      <c r="I12" s="2" t="n"/>
    </row>
    <row r="13" ht="33.65" customHeight="1">
      <c r="A13" s="2" t="inlineStr">
        <is>
          <t xml:space="preserve"> LGM Tower 2</t>
        </is>
      </c>
      <c r="B13" s="2" t="n">
        <v>1</v>
      </c>
      <c r="C13" s="2" t="inlineStr">
        <is>
          <t>Male WR</t>
        </is>
      </c>
      <c r="D13" s="2" t="n">
        <v>11</v>
      </c>
      <c r="E13" s="2" t="n">
        <v>11</v>
      </c>
      <c r="F13" s="2" t="n">
        <v>11</v>
      </c>
      <c r="G13" s="2" t="n">
        <v>12</v>
      </c>
      <c r="H13" s="2" t="n">
        <v>8</v>
      </c>
      <c r="I13" s="2" t="n"/>
    </row>
    <row r="14" ht="33.65" customHeight="1">
      <c r="A14" s="3" t="n"/>
      <c r="B14" s="2" t="n">
        <v>2</v>
      </c>
      <c r="C14" s="2" t="inlineStr">
        <is>
          <t>Female WR</t>
        </is>
      </c>
      <c r="D14" s="2" t="n">
        <v>11</v>
      </c>
      <c r="E14" s="2" t="n">
        <v>11</v>
      </c>
      <c r="F14" s="2" t="n">
        <v>11</v>
      </c>
      <c r="G14" s="2" t="n">
        <v>0</v>
      </c>
      <c r="H14" s="2" t="n">
        <v>8</v>
      </c>
      <c r="I14" s="2" t="n"/>
    </row>
    <row r="15" ht="33.65" customHeight="1">
      <c r="A15" s="2" t="inlineStr">
        <is>
          <t xml:space="preserve"> P1-Tower 2</t>
        </is>
      </c>
      <c r="B15" s="2" t="n">
        <v>1</v>
      </c>
      <c r="C15" s="2" t="inlineStr">
        <is>
          <t>Male WR</t>
        </is>
      </c>
      <c r="D15" s="2" t="n">
        <v>11</v>
      </c>
      <c r="E15" s="2" t="n">
        <v>11</v>
      </c>
      <c r="F15" s="2" t="n">
        <v>11</v>
      </c>
      <c r="G15" s="2" t="n">
        <v>12</v>
      </c>
      <c r="H15" s="2" t="n">
        <v>8</v>
      </c>
      <c r="I15" s="2" t="n"/>
    </row>
    <row r="16" ht="33.65" customHeight="1">
      <c r="A16" s="3" t="n"/>
      <c r="B16" s="2" t="n">
        <v>2</v>
      </c>
      <c r="C16" s="2" t="inlineStr">
        <is>
          <t>Female WR</t>
        </is>
      </c>
      <c r="D16" s="2" t="n">
        <v>11</v>
      </c>
      <c r="E16" s="2" t="n">
        <v>11</v>
      </c>
      <c r="F16" s="2" t="n">
        <v>11</v>
      </c>
      <c r="G16" s="2" t="n">
        <v>0</v>
      </c>
      <c r="H16" s="2" t="n">
        <v>8</v>
      </c>
      <c r="I16" s="2" t="n"/>
    </row>
    <row r="17" ht="33.65" customHeight="1">
      <c r="A17" s="2" t="inlineStr">
        <is>
          <t xml:space="preserve">GF -Tower 4 </t>
        </is>
      </c>
      <c r="B17" s="2" t="n">
        <v>1</v>
      </c>
      <c r="C17" s="2" t="inlineStr">
        <is>
          <t>Male WR</t>
        </is>
      </c>
      <c r="D17" s="2" t="n">
        <v>4</v>
      </c>
      <c r="E17" s="2" t="n">
        <v>4</v>
      </c>
      <c r="F17" s="2" t="n">
        <v>4</v>
      </c>
      <c r="G17" s="2" t="n">
        <v>3</v>
      </c>
      <c r="H17" s="2" t="n">
        <v>4</v>
      </c>
      <c r="I17" s="2" t="n"/>
    </row>
    <row r="18" ht="33.65" customHeight="1">
      <c r="A18" s="3" t="n"/>
      <c r="B18" s="2" t="n">
        <v>2</v>
      </c>
      <c r="C18" s="2" t="inlineStr">
        <is>
          <t>Female WR</t>
        </is>
      </c>
      <c r="D18" s="2" t="n">
        <v>7</v>
      </c>
      <c r="E18" s="2" t="n">
        <v>7</v>
      </c>
      <c r="F18" s="2" t="n">
        <v>7</v>
      </c>
      <c r="G18" s="2" t="n">
        <v>0</v>
      </c>
      <c r="H18" s="2" t="n">
        <v>7</v>
      </c>
      <c r="I18" s="2" t="n"/>
    </row>
    <row r="19" ht="33.65" customHeight="1">
      <c r="A19" s="2" t="inlineStr">
        <is>
          <t xml:space="preserve">LGM -Tower 4 </t>
        </is>
      </c>
      <c r="B19" s="2" t="n">
        <v>1</v>
      </c>
      <c r="C19" s="2" t="inlineStr">
        <is>
          <t>Male WR</t>
        </is>
      </c>
      <c r="D19" s="2" t="n">
        <v>11</v>
      </c>
      <c r="E19" s="2" t="n">
        <v>11</v>
      </c>
      <c r="F19" s="2" t="n">
        <v>11</v>
      </c>
      <c r="G19" s="2" t="n">
        <v>12</v>
      </c>
      <c r="H19" s="2" t="n">
        <v>8</v>
      </c>
      <c r="I19" s="2" t="n"/>
    </row>
    <row r="20" ht="33.65" customHeight="1">
      <c r="A20" s="3" t="n"/>
      <c r="B20" s="2" t="n">
        <v>2</v>
      </c>
      <c r="C20" s="2" t="inlineStr">
        <is>
          <t>Female WR</t>
        </is>
      </c>
      <c r="D20" s="2" t="n">
        <v>11</v>
      </c>
      <c r="E20" s="2" t="n">
        <v>11</v>
      </c>
      <c r="F20" s="2" t="n">
        <v>11</v>
      </c>
      <c r="G20" s="2" t="n">
        <v>0</v>
      </c>
      <c r="H20" s="2" t="n">
        <v>8</v>
      </c>
      <c r="I20" s="2" t="n"/>
    </row>
    <row r="21" ht="33.65" customHeight="1">
      <c r="A21" s="2" t="inlineStr">
        <is>
          <t xml:space="preserve">P1-Tower 4 </t>
        </is>
      </c>
      <c r="B21" s="2" t="n">
        <v>1</v>
      </c>
      <c r="C21" s="2" t="inlineStr">
        <is>
          <t>Male WR</t>
        </is>
      </c>
      <c r="D21" s="2" t="n">
        <v>4</v>
      </c>
      <c r="E21" s="2" t="n">
        <v>4</v>
      </c>
      <c r="F21" s="2" t="n">
        <v>4</v>
      </c>
      <c r="G21" s="2" t="n">
        <v>5</v>
      </c>
      <c r="H21" s="2" t="n">
        <v>4</v>
      </c>
      <c r="I21" s="2" t="n"/>
    </row>
    <row r="22" ht="33.65" customHeight="1">
      <c r="A22" s="3" t="n"/>
      <c r="B22" s="2" t="n">
        <v>2</v>
      </c>
      <c r="C22" s="2" t="inlineStr">
        <is>
          <t>Female WR</t>
        </is>
      </c>
      <c r="D22" s="2" t="n">
        <v>7</v>
      </c>
      <c r="E22" s="2" t="n">
        <v>7</v>
      </c>
      <c r="F22" s="2" t="n">
        <v>7</v>
      </c>
      <c r="G22" s="2" t="n">
        <v>0</v>
      </c>
      <c r="H22" s="2" t="n">
        <v>7</v>
      </c>
      <c r="I22" s="2" t="n"/>
    </row>
    <row r="23" ht="33.65" customHeight="1">
      <c r="A23" s="2" t="inlineStr">
        <is>
          <t xml:space="preserve">GF - Link bridge -Food court Staff </t>
        </is>
      </c>
      <c r="B23" s="2" t="n">
        <v>1</v>
      </c>
      <c r="C23" s="2" t="inlineStr">
        <is>
          <t>Male WR</t>
        </is>
      </c>
      <c r="D23" s="2" t="n">
        <v>3</v>
      </c>
      <c r="E23" s="2" t="n">
        <v>3</v>
      </c>
      <c r="F23" s="2" t="n">
        <v>3</v>
      </c>
      <c r="G23" s="2" t="n">
        <v>4</v>
      </c>
      <c r="H23" s="2" t="n">
        <v>4</v>
      </c>
      <c r="I23" s="2" t="n"/>
    </row>
    <row r="24" ht="33.65" customHeight="1">
      <c r="A24" s="3" t="n"/>
      <c r="B24" s="2" t="n">
        <v>2</v>
      </c>
      <c r="C24" s="2" t="inlineStr">
        <is>
          <t>Female WR</t>
        </is>
      </c>
      <c r="D24" s="2" t="n">
        <v>6</v>
      </c>
      <c r="E24" s="2" t="n">
        <v>6</v>
      </c>
      <c r="F24" s="2" t="n">
        <v>6</v>
      </c>
      <c r="G24" s="2" t="n">
        <v>0</v>
      </c>
      <c r="H24" s="2" t="n">
        <v>4</v>
      </c>
      <c r="I24" s="2" t="n"/>
    </row>
    <row r="25" ht="33.65" customHeight="1">
      <c r="A25" s="4" t="inlineStr">
        <is>
          <t xml:space="preserve">Total </t>
        </is>
      </c>
      <c r="B25" s="5" t="n"/>
      <c r="C25" s="6" t="inlineStr">
        <is>
          <t>Male WR</t>
        </is>
      </c>
      <c r="D25" s="6">
        <f>SUM(D3+D5+D7+D9+D11+D13+D15+D17+D19+D21+D23)</f>
        <v/>
      </c>
      <c r="E25" s="6">
        <f>SUM(E3+E5+E7+E9+E11+E13+E15+E17+E19+E21+E23)</f>
        <v/>
      </c>
      <c r="F25" s="6">
        <f>SUM(F3+F5+F7+F9+F11+F13+F15+F17+F19+F21+F23)</f>
        <v/>
      </c>
      <c r="G25" s="6">
        <f>SUM(G3+G5+G7+G9+G11+G13+G15+G17+G19+G21+G23)</f>
        <v/>
      </c>
      <c r="H25" s="6">
        <f>SUM(H3+H5+H7+H9+H11+H13+H15+H17+H19+H21+H23)</f>
        <v/>
      </c>
      <c r="I25" s="6" t="n"/>
    </row>
    <row r="26" ht="33.65" customHeight="1">
      <c r="A26" s="4" t="n"/>
      <c r="B26" s="5" t="n"/>
      <c r="C26" s="6" t="inlineStr">
        <is>
          <t>Female WR</t>
        </is>
      </c>
      <c r="D26" s="6">
        <f>SUM(D4+D6+D8+D10+D12+D14+D16+D18+D20+D22+D24)</f>
        <v/>
      </c>
      <c r="E26" s="6">
        <f>SUM(E4+E6+E8+E10+E12+E14+E16+E18+E20+E22+E24)</f>
        <v/>
      </c>
      <c r="F26" s="6">
        <f>SUM(F4+F6+F8+F10+F12+F14+F16+F18+F20+F22+F24)</f>
        <v/>
      </c>
      <c r="G26" s="6">
        <f>SUM(G4+G6+G8+G10+G12+G14+G16+G18+G20+G22+G24)</f>
        <v/>
      </c>
      <c r="H26" s="6">
        <f>SUM(H4+H6+H8+H10+H12+H14+H16+H18+H20+H22+H24)</f>
        <v/>
      </c>
      <c r="I26" s="6" t="n"/>
    </row>
    <row r="27" ht="33.65" customHeight="1">
      <c r="A27" s="4" t="n"/>
      <c r="B27" s="5" t="n"/>
      <c r="C27" s="6" t="n"/>
      <c r="D27" s="6">
        <f>SUM(D25+D26)</f>
        <v/>
      </c>
      <c r="E27" s="6">
        <f>SUM(E25+E26)</f>
        <v/>
      </c>
      <c r="F27" s="6">
        <f>SUM(F25+F26)</f>
        <v/>
      </c>
      <c r="G27" s="6">
        <f>SUM(G25+G26)</f>
        <v/>
      </c>
      <c r="H27" s="6">
        <f>SUM(H25+H26)</f>
        <v/>
      </c>
      <c r="I27" s="6" t="n"/>
    </row>
  </sheetData>
  <mergeCells count="23">
    <mergeCell ref="A7:A8"/>
    <mergeCell ref="C1:C2"/>
    <mergeCell ref="E1:E2"/>
    <mergeCell ref="A25:B25"/>
    <mergeCell ref="A3:A4"/>
    <mergeCell ref="B1:B2"/>
    <mergeCell ref="A27:B27"/>
    <mergeCell ref="A21:A22"/>
    <mergeCell ref="A5:A6"/>
    <mergeCell ref="A26:B26"/>
    <mergeCell ref="A17:A18"/>
    <mergeCell ref="A13:A14"/>
    <mergeCell ref="A23:A24"/>
    <mergeCell ref="G1:G2"/>
    <mergeCell ref="I1:I2"/>
    <mergeCell ref="A19:A20"/>
    <mergeCell ref="A9:A10"/>
    <mergeCell ref="A15:A16"/>
    <mergeCell ref="D1:D2"/>
    <mergeCell ref="F1:F2"/>
    <mergeCell ref="H1:H2"/>
    <mergeCell ref="A11:A12"/>
    <mergeCell ref="A1: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30.45" customWidth="1" min="8" max="8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 xml:space="preserve">Cubical </t>
        </is>
      </c>
      <c r="E1" s="1" t="inlineStr">
        <is>
          <t xml:space="preserve">Pedal Bins </t>
        </is>
      </c>
      <c r="F1" s="1" t="inlineStr">
        <is>
          <t xml:space="preserve">Toilet Rolls Dispenser </t>
        </is>
      </c>
      <c r="G1" s="1" t="inlineStr">
        <is>
          <t xml:space="preserve">Washbasin </t>
        </is>
      </c>
      <c r="H1" s="1" t="inlineStr">
        <is>
          <t>Remarks</t>
        </is>
      </c>
    </row>
    <row r="2" ht="44.15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33.65" customHeight="1">
      <c r="A3" s="2" t="inlineStr">
        <is>
          <t>GF - Tower 1</t>
        </is>
      </c>
      <c r="B3" s="2" t="n">
        <v>1</v>
      </c>
      <c r="C3" s="2" t="inlineStr">
        <is>
          <t>Male WR</t>
        </is>
      </c>
      <c r="D3" s="2" t="n">
        <v>1</v>
      </c>
      <c r="E3" s="2" t="n">
        <v>1</v>
      </c>
      <c r="F3" s="2" t="n">
        <v>1</v>
      </c>
      <c r="G3" s="2" t="n">
        <v>1</v>
      </c>
      <c r="H3" s="2" t="n"/>
    </row>
    <row r="4" ht="33.65" customHeight="1">
      <c r="A4" s="3" t="n"/>
      <c r="B4" s="2" t="n">
        <v>2</v>
      </c>
      <c r="C4" s="2" t="inlineStr">
        <is>
          <t>Female WR</t>
        </is>
      </c>
      <c r="D4" s="2" t="n">
        <v>1</v>
      </c>
      <c r="E4" s="2" t="n">
        <v>1</v>
      </c>
      <c r="F4" s="2" t="n">
        <v>1</v>
      </c>
      <c r="G4" s="2" t="n">
        <v>1</v>
      </c>
      <c r="H4" s="2" t="n"/>
    </row>
    <row r="5" ht="33.65" customHeight="1">
      <c r="A5" s="2" t="inlineStr">
        <is>
          <t>LGM - Tower 1</t>
        </is>
      </c>
      <c r="B5" s="2" t="n">
        <v>1</v>
      </c>
      <c r="C5" s="2" t="inlineStr">
        <is>
          <t>Male WR</t>
        </is>
      </c>
      <c r="D5" s="2" t="n">
        <v>1</v>
      </c>
      <c r="E5" s="2" t="n">
        <v>1</v>
      </c>
      <c r="F5" s="2" t="n">
        <v>1</v>
      </c>
      <c r="G5" s="2" t="n">
        <v>1</v>
      </c>
      <c r="H5" s="2" t="n"/>
    </row>
    <row r="6" ht="33.65" customHeight="1">
      <c r="A6" s="3" t="n"/>
      <c r="B6" s="2" t="n">
        <v>2</v>
      </c>
      <c r="C6" s="2" t="inlineStr">
        <is>
          <t>Female WR</t>
        </is>
      </c>
      <c r="D6" s="2" t="n">
        <v>1</v>
      </c>
      <c r="E6" s="2" t="n">
        <v>1</v>
      </c>
      <c r="F6" s="2" t="n">
        <v>1</v>
      </c>
      <c r="G6" s="2" t="n">
        <v>1</v>
      </c>
      <c r="H6" s="2" t="n"/>
    </row>
    <row r="7" ht="33.65" customHeight="1">
      <c r="A7" s="2" t="inlineStr">
        <is>
          <t>P1- Tower 1</t>
        </is>
      </c>
      <c r="B7" s="2" t="n">
        <v>1</v>
      </c>
      <c r="C7" s="2" t="inlineStr">
        <is>
          <t>Male WR</t>
        </is>
      </c>
      <c r="D7" s="2" t="n">
        <v>1</v>
      </c>
      <c r="E7" s="2" t="n">
        <v>1</v>
      </c>
      <c r="F7" s="2" t="n">
        <v>1</v>
      </c>
      <c r="G7" s="2" t="n">
        <v>1</v>
      </c>
      <c r="H7" s="2" t="n"/>
    </row>
    <row r="8" ht="33.65" customHeight="1">
      <c r="A8" s="3" t="n"/>
      <c r="B8" s="2" t="n">
        <v>2</v>
      </c>
      <c r="C8" s="2" t="inlineStr">
        <is>
          <t>Female WR</t>
        </is>
      </c>
      <c r="D8" s="2" t="n">
        <v>1</v>
      </c>
      <c r="E8" s="2" t="n">
        <v>1</v>
      </c>
      <c r="F8" s="2" t="n">
        <v>1</v>
      </c>
      <c r="G8" s="2" t="n">
        <v>1</v>
      </c>
      <c r="H8" s="2" t="n"/>
    </row>
    <row r="9" ht="33.65" customHeight="1">
      <c r="A9" s="2" t="inlineStr">
        <is>
          <t xml:space="preserve">P1- Tower 1 -PR Side </t>
        </is>
      </c>
      <c r="B9" s="2" t="n">
        <v>1</v>
      </c>
      <c r="C9" s="2" t="inlineStr">
        <is>
          <t>Male WR</t>
        </is>
      </c>
      <c r="D9" s="2" t="n">
        <v>1</v>
      </c>
      <c r="E9" s="2" t="n">
        <v>1</v>
      </c>
      <c r="F9" s="2" t="n">
        <v>1</v>
      </c>
      <c r="G9" s="2" t="n">
        <v>1</v>
      </c>
      <c r="H9" s="2" t="n"/>
    </row>
    <row r="10" ht="33.65" customHeight="1">
      <c r="A10" s="3" t="n"/>
      <c r="B10" s="2" t="n">
        <v>2</v>
      </c>
      <c r="C10" s="2" t="inlineStr">
        <is>
          <t>Female WR</t>
        </is>
      </c>
      <c r="D10" s="2" t="n">
        <v>1</v>
      </c>
      <c r="E10" s="2" t="n">
        <v>1</v>
      </c>
      <c r="F10" s="2" t="n">
        <v>1</v>
      </c>
      <c r="G10" s="2" t="n">
        <v>1</v>
      </c>
      <c r="H10" s="2" t="n"/>
    </row>
    <row r="11" ht="33.65" customHeight="1">
      <c r="A11" s="2" t="inlineStr">
        <is>
          <t xml:space="preserve"> GF-Link Bridge -Food court</t>
        </is>
      </c>
      <c r="B11" s="2" t="n">
        <v>1</v>
      </c>
      <c r="C11" s="2" t="inlineStr">
        <is>
          <t>Male WR</t>
        </is>
      </c>
      <c r="D11" s="2" t="n">
        <v>1</v>
      </c>
      <c r="E11" s="2" t="n">
        <v>1</v>
      </c>
      <c r="F11" s="2" t="n">
        <v>1</v>
      </c>
      <c r="G11" s="2" t="n">
        <v>1</v>
      </c>
      <c r="H11" s="2" t="n"/>
    </row>
    <row r="12" ht="33.65" customHeight="1">
      <c r="A12" s="3" t="n"/>
      <c r="B12" s="2" t="n">
        <v>2</v>
      </c>
      <c r="C12" s="2" t="inlineStr">
        <is>
          <t>Female WR</t>
        </is>
      </c>
      <c r="D12" s="2" t="n">
        <v>1</v>
      </c>
      <c r="E12" s="2" t="n">
        <v>1</v>
      </c>
      <c r="F12" s="2" t="n">
        <v>1</v>
      </c>
      <c r="G12" s="2" t="n">
        <v>1</v>
      </c>
      <c r="H12" s="2" t="n"/>
    </row>
    <row r="13" ht="33.65" customHeight="1">
      <c r="A13" s="2" t="inlineStr">
        <is>
          <t xml:space="preserve"> LGM Tower 2</t>
        </is>
      </c>
      <c r="B13" s="2" t="n">
        <v>1</v>
      </c>
      <c r="C13" s="2" t="inlineStr">
        <is>
          <t>Male WR</t>
        </is>
      </c>
      <c r="D13" s="2" t="n">
        <v>1</v>
      </c>
      <c r="E13" s="2" t="n">
        <v>1</v>
      </c>
      <c r="F13" s="2" t="n">
        <v>1</v>
      </c>
      <c r="G13" s="2" t="n">
        <v>1</v>
      </c>
      <c r="H13" s="2" t="n"/>
    </row>
    <row r="14" ht="33.65" customHeight="1">
      <c r="A14" s="3" t="n"/>
      <c r="B14" s="2" t="n">
        <v>2</v>
      </c>
      <c r="C14" s="2" t="inlineStr">
        <is>
          <t>Female WR</t>
        </is>
      </c>
      <c r="D14" s="2" t="n">
        <v>1</v>
      </c>
      <c r="E14" s="2" t="n">
        <v>1</v>
      </c>
      <c r="F14" s="2" t="n">
        <v>1</v>
      </c>
      <c r="G14" s="2" t="n">
        <v>1</v>
      </c>
      <c r="H14" s="2" t="n"/>
    </row>
    <row r="15" ht="33.65" customHeight="1">
      <c r="A15" s="2" t="inlineStr">
        <is>
          <t xml:space="preserve"> P1-Tower 2</t>
        </is>
      </c>
      <c r="B15" s="2" t="n">
        <v>1</v>
      </c>
      <c r="C15" s="2" t="inlineStr">
        <is>
          <t>Male WR</t>
        </is>
      </c>
      <c r="D15" s="2" t="n">
        <v>1</v>
      </c>
      <c r="E15" s="2" t="n">
        <v>1</v>
      </c>
      <c r="F15" s="2" t="n">
        <v>1</v>
      </c>
      <c r="G15" s="2" t="n">
        <v>1</v>
      </c>
      <c r="H15" s="2" t="n"/>
    </row>
    <row r="16" ht="33.65" customHeight="1">
      <c r="A16" s="3" t="n"/>
      <c r="B16" s="2" t="n">
        <v>2</v>
      </c>
      <c r="C16" s="2" t="inlineStr">
        <is>
          <t>Female WR</t>
        </is>
      </c>
      <c r="D16" s="2" t="n">
        <v>1</v>
      </c>
      <c r="E16" s="2" t="n">
        <v>1</v>
      </c>
      <c r="F16" s="2" t="n">
        <v>1</v>
      </c>
      <c r="G16" s="2" t="n">
        <v>1</v>
      </c>
      <c r="H16" s="2" t="n"/>
    </row>
    <row r="17" ht="33.65" customHeight="1">
      <c r="A17" s="2" t="inlineStr">
        <is>
          <t xml:space="preserve">GF -Tower 4 </t>
        </is>
      </c>
      <c r="B17" s="2" t="n">
        <v>1</v>
      </c>
      <c r="C17" s="2" t="inlineStr">
        <is>
          <t>Male WR</t>
        </is>
      </c>
      <c r="D17" s="2" t="n">
        <v>1</v>
      </c>
      <c r="E17" s="2" t="n">
        <v>1</v>
      </c>
      <c r="F17" s="2" t="n">
        <v>1</v>
      </c>
      <c r="G17" s="2" t="n">
        <v>1</v>
      </c>
      <c r="H17" s="2" t="n"/>
    </row>
    <row r="18" ht="33.65" customHeight="1">
      <c r="A18" s="3" t="n"/>
      <c r="B18" s="2" t="n">
        <v>2</v>
      </c>
      <c r="C18" s="2" t="inlineStr">
        <is>
          <t>Female WR</t>
        </is>
      </c>
      <c r="D18" s="2" t="n">
        <v>1</v>
      </c>
      <c r="E18" s="2" t="n">
        <v>1</v>
      </c>
      <c r="F18" s="2" t="n">
        <v>1</v>
      </c>
      <c r="G18" s="2" t="n">
        <v>1</v>
      </c>
      <c r="H18" s="2" t="n"/>
    </row>
    <row r="19" ht="33.65" customHeight="1">
      <c r="A19" s="2" t="inlineStr">
        <is>
          <t xml:space="preserve">LGM -Tower 4 </t>
        </is>
      </c>
      <c r="B19" s="2" t="n">
        <v>1</v>
      </c>
      <c r="C19" s="2" t="inlineStr">
        <is>
          <t>Male WR</t>
        </is>
      </c>
      <c r="D19" s="2" t="n">
        <v>1</v>
      </c>
      <c r="E19" s="2" t="n">
        <v>1</v>
      </c>
      <c r="F19" s="2" t="n">
        <v>1</v>
      </c>
      <c r="G19" s="2" t="n">
        <v>1</v>
      </c>
      <c r="H19" s="2" t="n"/>
    </row>
    <row r="20" ht="33.65" customHeight="1">
      <c r="A20" s="3" t="n"/>
      <c r="B20" s="2" t="n">
        <v>2</v>
      </c>
      <c r="C20" s="2" t="inlineStr">
        <is>
          <t>Female WR</t>
        </is>
      </c>
      <c r="D20" s="2" t="n">
        <v>1</v>
      </c>
      <c r="E20" s="2" t="n">
        <v>1</v>
      </c>
      <c r="F20" s="2" t="n">
        <v>1</v>
      </c>
      <c r="G20" s="2" t="n">
        <v>1</v>
      </c>
      <c r="H20" s="2" t="n"/>
    </row>
    <row r="21" ht="33.65" customHeight="1">
      <c r="A21" s="2" t="inlineStr">
        <is>
          <t xml:space="preserve">P1-Tower 4 </t>
        </is>
      </c>
      <c r="B21" s="2" t="n">
        <v>1</v>
      </c>
      <c r="C21" s="2" t="inlineStr">
        <is>
          <t>Male WR</t>
        </is>
      </c>
      <c r="D21" s="2" t="n">
        <v>1</v>
      </c>
      <c r="E21" s="2" t="n">
        <v>1</v>
      </c>
      <c r="F21" s="2" t="n">
        <v>1</v>
      </c>
      <c r="G21" s="2" t="n">
        <v>1</v>
      </c>
      <c r="H21" s="2" t="n"/>
    </row>
    <row r="22" ht="33.65" customHeight="1">
      <c r="A22" s="3" t="n"/>
      <c r="B22" s="2" t="n">
        <v>2</v>
      </c>
      <c r="C22" s="2" t="inlineStr">
        <is>
          <t>Female WR</t>
        </is>
      </c>
      <c r="D22" s="2" t="n">
        <v>1</v>
      </c>
      <c r="E22" s="2" t="n">
        <v>1</v>
      </c>
      <c r="F22" s="2" t="n">
        <v>1</v>
      </c>
      <c r="G22" s="2" t="n">
        <v>1</v>
      </c>
      <c r="H22" s="2" t="n"/>
    </row>
    <row r="23" ht="33.65" customHeight="1">
      <c r="A23" s="4" t="inlineStr">
        <is>
          <t xml:space="preserve">Total </t>
        </is>
      </c>
      <c r="B23" s="5" t="n"/>
      <c r="C23" s="6" t="inlineStr">
        <is>
          <t>Male WR</t>
        </is>
      </c>
      <c r="D23" s="6">
        <f>SUM(D3+D5+D7+D9+D11+D13+D15+D17+D19+D21)</f>
        <v/>
      </c>
      <c r="E23" s="6">
        <f>SUM(E3+E5+E7+E9+E11+E13+E15+E17+E19+E21)</f>
        <v/>
      </c>
      <c r="F23" s="6">
        <f>SUM(F3+F5+F7+F9+F11+F13+F15+F17+F19+F21)</f>
        <v/>
      </c>
      <c r="G23" s="6">
        <f>SUM(G3+G5+G7+G9+G11+G13+G15+G17+G19+G21)</f>
        <v/>
      </c>
      <c r="H23" s="6" t="n"/>
    </row>
    <row r="24" ht="33.65" customHeight="1">
      <c r="A24" s="4" t="n"/>
      <c r="B24" s="5" t="n"/>
      <c r="C24" s="6" t="inlineStr">
        <is>
          <t>Female WR</t>
        </is>
      </c>
      <c r="D24" s="6">
        <f>SUM(D4+D6+D8+D10+D12+D14+D16+D18+D20+D22)</f>
        <v/>
      </c>
      <c r="E24" s="6">
        <f>SUM(E4+E6+E8+E10+E12+E14+E16+E18+E20+E22)</f>
        <v/>
      </c>
      <c r="F24" s="6">
        <f>SUM(F4+F6+F8+F10+F12+F14+F16+F18+F20+F22)</f>
        <v/>
      </c>
      <c r="G24" s="6">
        <f>SUM(G4+G6+G8+G10+G12+G14+G16+G18+G20+G22)</f>
        <v/>
      </c>
      <c r="H24" s="6" t="n"/>
    </row>
    <row r="25" ht="33.65" customHeight="1">
      <c r="A25" s="4" t="inlineStr">
        <is>
          <t xml:space="preserve">Subtotal </t>
        </is>
      </c>
      <c r="B25" s="5" t="n"/>
      <c r="C25" s="6" t="n"/>
      <c r="D25" s="6">
        <f>SUM(D23+D24)</f>
        <v/>
      </c>
      <c r="E25" s="6">
        <f>SUM(E23+E24)</f>
        <v/>
      </c>
      <c r="F25" s="6">
        <f>SUM(F23+F24)</f>
        <v/>
      </c>
      <c r="G25" s="6">
        <f>SUM(G23+G24)</f>
        <v/>
      </c>
      <c r="H25" s="6" t="n"/>
    </row>
  </sheetData>
  <mergeCells count="21">
    <mergeCell ref="A24:B24"/>
    <mergeCell ref="A7:A8"/>
    <mergeCell ref="C1:C2"/>
    <mergeCell ref="E1:E2"/>
    <mergeCell ref="A25:B25"/>
    <mergeCell ref="A3:A4"/>
    <mergeCell ref="B1:B2"/>
    <mergeCell ref="A21:A22"/>
    <mergeCell ref="A5:A6"/>
    <mergeCell ref="A17:A18"/>
    <mergeCell ref="A13:A14"/>
    <mergeCell ref="G1:G2"/>
    <mergeCell ref="A23:B23"/>
    <mergeCell ref="A19:A20"/>
    <mergeCell ref="A9:A10"/>
    <mergeCell ref="A15:A16"/>
    <mergeCell ref="D1:D2"/>
    <mergeCell ref="F1:F2"/>
    <mergeCell ref="H1:H2"/>
    <mergeCell ref="A11:A12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45" customWidth="1" min="1" max="1"/>
    <col width="30.45" customWidth="1" min="2" max="2"/>
    <col width="14.45" customWidth="1" min="3" max="3"/>
    <col width="20.45" customWidth="1" min="4" max="4"/>
    <col width="18.45" customWidth="1" min="5" max="5"/>
    <col width="18.45" customWidth="1" min="6" max="6"/>
    <col width="30.45" customWidth="1" min="7" max="7"/>
  </cols>
  <sheetData>
    <row r="1" ht="55.4" customHeight="1">
      <c r="A1" s="1" t="inlineStr">
        <is>
          <t>Property</t>
        </is>
      </c>
      <c r="B1" s="1" t="inlineStr">
        <is>
          <t>Area</t>
        </is>
      </c>
      <c r="C1" s="1" t="inlineStr">
        <is>
          <t>Washroom no</t>
        </is>
      </c>
      <c r="D1" s="1" t="inlineStr">
        <is>
          <t>Washroom (Gender)</t>
        </is>
      </c>
      <c r="E1" s="1" t="inlineStr">
        <is>
          <t xml:space="preserve">Washbasin </t>
        </is>
      </c>
      <c r="F1" s="1" t="inlineStr">
        <is>
          <t>Tissue Dispenser</t>
        </is>
      </c>
      <c r="G1" s="1" t="inlineStr">
        <is>
          <t>Remarks</t>
        </is>
      </c>
    </row>
    <row r="2" ht="44.15" customHeight="1">
      <c r="A2" s="1" t="n"/>
      <c r="B2" s="1" t="n"/>
      <c r="C2" s="1" t="n"/>
      <c r="D2" s="1" t="n"/>
      <c r="E2" s="1" t="n"/>
      <c r="F2" s="1" t="n"/>
      <c r="G2" s="1" t="n"/>
    </row>
    <row r="3" ht="33.65" customHeight="1">
      <c r="A3" s="2" t="inlineStr">
        <is>
          <t>Malls</t>
        </is>
      </c>
      <c r="B3" s="2" t="inlineStr">
        <is>
          <t xml:space="preserve">LG Star Atrium </t>
        </is>
      </c>
      <c r="C3" s="2" t="n">
        <v>1</v>
      </c>
      <c r="D3" s="2" t="inlineStr">
        <is>
          <t>Male WR</t>
        </is>
      </c>
      <c r="E3" s="2" t="n">
        <v>1</v>
      </c>
      <c r="F3" s="2" t="n">
        <v>1</v>
      </c>
      <c r="G3" s="2" t="n"/>
    </row>
    <row r="4" ht="33.65" customHeight="1">
      <c r="A4" s="2" t="inlineStr">
        <is>
          <t>Malls</t>
        </is>
      </c>
      <c r="B4" s="3" t="n"/>
      <c r="C4" s="2" t="n">
        <v>2</v>
      </c>
      <c r="D4" s="2" t="inlineStr">
        <is>
          <t>Female WR</t>
        </is>
      </c>
      <c r="E4" s="2" t="n">
        <v>1</v>
      </c>
      <c r="F4" s="2" t="n">
        <v>1</v>
      </c>
      <c r="G4" s="2" t="n"/>
    </row>
    <row r="5" ht="33.65" customHeight="1">
      <c r="A5" s="2" t="inlineStr">
        <is>
          <t>Malls</t>
        </is>
      </c>
      <c r="B5" s="2" t="inlineStr">
        <is>
          <t xml:space="preserve">LG Food Court Chines Place </t>
        </is>
      </c>
      <c r="C5" s="2" t="n">
        <v>1</v>
      </c>
      <c r="D5" s="2" t="inlineStr">
        <is>
          <t>Female WR</t>
        </is>
      </c>
      <c r="E5" s="2" t="n">
        <v>1</v>
      </c>
      <c r="F5" s="2" t="n">
        <v>0</v>
      </c>
      <c r="G5" s="2" t="n"/>
    </row>
    <row r="6" ht="33.65" customHeight="1">
      <c r="A6" s="2" t="inlineStr">
        <is>
          <t>Malls</t>
        </is>
      </c>
      <c r="B6" s="3" t="n"/>
      <c r="C6" s="2" t="n">
        <v>2</v>
      </c>
      <c r="D6" s="2" t="n"/>
      <c r="E6" s="2" t="n"/>
      <c r="F6" s="2" t="n">
        <v>0</v>
      </c>
      <c r="G6" s="2" t="n"/>
    </row>
    <row r="7" ht="33.65" customHeight="1">
      <c r="A7" s="2" t="inlineStr">
        <is>
          <t>Malls</t>
        </is>
      </c>
      <c r="B7" s="2" t="inlineStr">
        <is>
          <t>LG Food court AT THE TOP</t>
        </is>
      </c>
      <c r="C7" s="2" t="n">
        <v>1</v>
      </c>
      <c r="D7" s="2" t="inlineStr">
        <is>
          <t>Male WR</t>
        </is>
      </c>
      <c r="E7" s="2" t="n">
        <v>1</v>
      </c>
      <c r="F7" s="2" t="n">
        <v>1</v>
      </c>
      <c r="G7" s="2" t="n"/>
    </row>
    <row r="8" ht="33.65" customHeight="1">
      <c r="A8" s="2" t="inlineStr">
        <is>
          <t>Malls</t>
        </is>
      </c>
      <c r="B8" s="3" t="n"/>
      <c r="C8" s="2" t="n">
        <v>2</v>
      </c>
      <c r="D8" s="2" t="inlineStr">
        <is>
          <t>Female WR</t>
        </is>
      </c>
      <c r="E8" s="2" t="n">
        <v>2</v>
      </c>
      <c r="F8" s="2" t="n">
        <v>2</v>
      </c>
      <c r="G8" s="2" t="n"/>
    </row>
    <row r="9" ht="33.65" customHeight="1">
      <c r="A9" s="2" t="inlineStr">
        <is>
          <t>Malls</t>
        </is>
      </c>
      <c r="B9" s="2" t="inlineStr">
        <is>
          <t xml:space="preserve">GF Catwalk </t>
        </is>
      </c>
      <c r="C9" s="2" t="n">
        <v>1</v>
      </c>
      <c r="D9" s="2" t="inlineStr">
        <is>
          <t>Male WR</t>
        </is>
      </c>
      <c r="E9" s="2" t="n">
        <v>1</v>
      </c>
      <c r="F9" s="2" t="n">
        <v>1</v>
      </c>
      <c r="G9" s="2" t="n"/>
    </row>
    <row r="10" ht="33.65" customHeight="1">
      <c r="A10" s="2" t="inlineStr">
        <is>
          <t>Malls</t>
        </is>
      </c>
      <c r="B10" s="3" t="n"/>
      <c r="C10" s="2" t="n">
        <v>2</v>
      </c>
      <c r="D10" s="2" t="inlineStr">
        <is>
          <t>Female WR</t>
        </is>
      </c>
      <c r="E10" s="2" t="n">
        <v>1</v>
      </c>
      <c r="F10" s="2" t="n">
        <v>1</v>
      </c>
      <c r="G10" s="2" t="n"/>
    </row>
    <row r="11" ht="33.65" customHeight="1">
      <c r="A11" s="2" t="inlineStr">
        <is>
          <t>Malls</t>
        </is>
      </c>
      <c r="B11" s="2" t="inlineStr">
        <is>
          <t>GF Banana</t>
        </is>
      </c>
      <c r="C11" s="2" t="n">
        <v>1</v>
      </c>
      <c r="D11" s="2" t="inlineStr">
        <is>
          <t>Male WR</t>
        </is>
      </c>
      <c r="E11" s="2" t="n">
        <v>1</v>
      </c>
      <c r="F11" s="2" t="n">
        <v>1</v>
      </c>
      <c r="G11" s="2" t="n"/>
    </row>
    <row r="12" ht="33.65" customHeight="1">
      <c r="A12" s="2" t="inlineStr">
        <is>
          <t>Malls</t>
        </is>
      </c>
      <c r="B12" s="3" t="n"/>
      <c r="C12" s="2" t="n">
        <v>2</v>
      </c>
      <c r="D12" s="2" t="inlineStr">
        <is>
          <t>Female WR</t>
        </is>
      </c>
      <c r="E12" s="2" t="n">
        <v>1</v>
      </c>
      <c r="F12" s="2" t="n">
        <v>1</v>
      </c>
      <c r="G12" s="2" t="n"/>
    </row>
    <row r="13" ht="33.65" customHeight="1">
      <c r="A13" s="2" t="inlineStr">
        <is>
          <t>Malls</t>
        </is>
      </c>
      <c r="B13" s="2" t="inlineStr">
        <is>
          <t xml:space="preserve">FF Catwalk </t>
        </is>
      </c>
      <c r="C13" s="2" t="n">
        <v>1</v>
      </c>
      <c r="D13" s="2" t="inlineStr">
        <is>
          <t>Male WR</t>
        </is>
      </c>
      <c r="E13" s="2" t="n">
        <v>1</v>
      </c>
      <c r="F13" s="2" t="n">
        <v>0</v>
      </c>
      <c r="G13" s="2" t="n"/>
    </row>
    <row r="14" ht="33.65" customHeight="1">
      <c r="A14" s="2" t="inlineStr">
        <is>
          <t>Malls</t>
        </is>
      </c>
      <c r="B14" s="3" t="n"/>
      <c r="C14" s="2" t="n">
        <v>2</v>
      </c>
      <c r="D14" s="2" t="inlineStr">
        <is>
          <t>Female WR</t>
        </is>
      </c>
      <c r="E14" s="2" t="n">
        <v>1</v>
      </c>
      <c r="F14" s="2" t="n">
        <v>0</v>
      </c>
      <c r="G14" s="2" t="n"/>
    </row>
    <row r="15" ht="33.65" customHeight="1">
      <c r="A15" s="2" t="inlineStr">
        <is>
          <t>Malls</t>
        </is>
      </c>
      <c r="B15" s="2" t="inlineStr">
        <is>
          <t xml:space="preserve">FF Banana </t>
        </is>
      </c>
      <c r="C15" s="2" t="n">
        <v>1</v>
      </c>
      <c r="D15" s="2" t="inlineStr">
        <is>
          <t>Male WR</t>
        </is>
      </c>
      <c r="E15" s="2" t="n">
        <v>1</v>
      </c>
      <c r="F15" s="2" t="n"/>
      <c r="G15" s="2" t="n"/>
    </row>
    <row r="16" ht="33.65" customHeight="1">
      <c r="A16" s="2" t="inlineStr">
        <is>
          <t>Malls</t>
        </is>
      </c>
      <c r="B16" s="3" t="n"/>
      <c r="C16" s="2" t="n">
        <v>2</v>
      </c>
      <c r="D16" s="2" t="inlineStr">
        <is>
          <t>Female WR</t>
        </is>
      </c>
      <c r="E16" s="2" t="n">
        <v>1</v>
      </c>
      <c r="F16" s="2" t="n"/>
      <c r="G16" s="2" t="n"/>
    </row>
    <row r="17" ht="33.65" customHeight="1">
      <c r="A17" s="2" t="inlineStr">
        <is>
          <t>Malls</t>
        </is>
      </c>
      <c r="B17" s="2" t="inlineStr">
        <is>
          <t xml:space="preserve">SF Catwalk </t>
        </is>
      </c>
      <c r="C17" s="2" t="n">
        <v>1</v>
      </c>
      <c r="D17" s="2" t="inlineStr">
        <is>
          <t>Male WR</t>
        </is>
      </c>
      <c r="E17" s="2" t="n">
        <v>1</v>
      </c>
      <c r="F17" s="2" t="n">
        <v>1</v>
      </c>
      <c r="G17" s="2" t="n"/>
    </row>
    <row r="18" ht="33.65" customHeight="1">
      <c r="A18" s="2" t="inlineStr">
        <is>
          <t>Malls</t>
        </is>
      </c>
      <c r="B18" s="3" t="n"/>
      <c r="C18" s="2" t="n">
        <v>2</v>
      </c>
      <c r="D18" s="2" t="inlineStr">
        <is>
          <t>Female WR</t>
        </is>
      </c>
      <c r="E18" s="2" t="n">
        <v>1</v>
      </c>
      <c r="F18" s="2" t="n">
        <v>1</v>
      </c>
      <c r="G18" s="2" t="n"/>
    </row>
    <row r="19" ht="33.65" customHeight="1">
      <c r="A19" s="2" t="inlineStr">
        <is>
          <t>Malls</t>
        </is>
      </c>
      <c r="B19" s="2" t="inlineStr">
        <is>
          <t xml:space="preserve">SF Banana </t>
        </is>
      </c>
      <c r="C19" s="2" t="n">
        <v>1</v>
      </c>
      <c r="D19" s="2" t="inlineStr">
        <is>
          <t>Male WR</t>
        </is>
      </c>
      <c r="E19" s="2" t="n">
        <v>1</v>
      </c>
      <c r="F19" s="2" t="n">
        <v>0</v>
      </c>
      <c r="G19" s="2" t="n"/>
    </row>
    <row r="20" ht="33.65" customHeight="1">
      <c r="A20" s="2" t="inlineStr">
        <is>
          <t>Malls</t>
        </is>
      </c>
      <c r="B20" s="3" t="n"/>
      <c r="C20" s="2" t="n">
        <v>2</v>
      </c>
      <c r="D20" s="2" t="inlineStr">
        <is>
          <t>Female WR</t>
        </is>
      </c>
      <c r="E20" s="2" t="n">
        <v>1</v>
      </c>
      <c r="F20" s="2" t="n">
        <v>0</v>
      </c>
      <c r="G20" s="2" t="n"/>
    </row>
    <row r="21" ht="33.65" customHeight="1">
      <c r="A21" s="2" t="inlineStr">
        <is>
          <t>Malls</t>
        </is>
      </c>
      <c r="B21" s="2" t="inlineStr">
        <is>
          <t xml:space="preserve">SF Food Court </t>
        </is>
      </c>
      <c r="C21" s="2" t="n">
        <v>1</v>
      </c>
      <c r="D21" s="2" t="inlineStr">
        <is>
          <t>Male WR</t>
        </is>
      </c>
      <c r="E21" s="2" t="n">
        <v>1</v>
      </c>
      <c r="F21" s="2" t="n"/>
      <c r="G21" s="2" t="n"/>
    </row>
    <row r="22" ht="33.65" customHeight="1">
      <c r="A22" s="2" t="inlineStr">
        <is>
          <t>Malls</t>
        </is>
      </c>
      <c r="B22" s="3" t="n"/>
      <c r="C22" s="2" t="n">
        <v>2</v>
      </c>
      <c r="D22" s="2" t="inlineStr">
        <is>
          <t>Female WR</t>
        </is>
      </c>
      <c r="E22" s="2" t="n"/>
      <c r="F22" s="2" t="n"/>
      <c r="G22" s="2" t="n"/>
    </row>
    <row r="23" ht="33.65" customHeight="1">
      <c r="A23" s="2" t="inlineStr">
        <is>
          <t>Malls</t>
        </is>
      </c>
      <c r="B23" s="2" t="inlineStr">
        <is>
          <t xml:space="preserve">SF Ice Rink </t>
        </is>
      </c>
      <c r="C23" s="2" t="n">
        <v>1</v>
      </c>
      <c r="D23" s="2" t="inlineStr">
        <is>
          <t>Male WR</t>
        </is>
      </c>
      <c r="E23" s="2" t="n">
        <v>1</v>
      </c>
      <c r="F23" s="2" t="n"/>
      <c r="G23" s="2" t="n"/>
    </row>
    <row r="24" ht="33.65" customHeight="1">
      <c r="A24" s="2" t="inlineStr">
        <is>
          <t>Malls</t>
        </is>
      </c>
      <c r="B24" s="3" t="n"/>
      <c r="C24" s="2" t="n">
        <v>2</v>
      </c>
      <c r="D24" s="2" t="inlineStr">
        <is>
          <t>Female WR</t>
        </is>
      </c>
      <c r="E24" s="2" t="n"/>
      <c r="F24" s="2" t="n"/>
      <c r="G24" s="2" t="n"/>
    </row>
    <row r="25" ht="33.65" customHeight="1">
      <c r="A25" s="4" t="inlineStr">
        <is>
          <t>Malls</t>
        </is>
      </c>
      <c r="B25" s="10" t="n"/>
      <c r="C25" s="5" t="n"/>
      <c r="D25" s="6" t="n"/>
      <c r="E25" s="6">
        <f>SUM(E3:E24)</f>
        <v/>
      </c>
      <c r="F25" s="6">
        <f>SUM(F3:F24)</f>
        <v/>
      </c>
      <c r="G25" s="6" t="n"/>
    </row>
    <row r="26" ht="33.65" customHeight="1">
      <c r="A26" s="2" t="inlineStr">
        <is>
          <t>FAE</t>
        </is>
      </c>
      <c r="B26" s="2" t="inlineStr">
        <is>
          <t xml:space="preserve">GF Fashion avenue </t>
        </is>
      </c>
      <c r="C26" s="2" t="n">
        <v>1</v>
      </c>
      <c r="D26" s="2" t="inlineStr">
        <is>
          <t>Male WR</t>
        </is>
      </c>
      <c r="E26" s="2" t="n">
        <v>1</v>
      </c>
      <c r="F26" s="2" t="n"/>
      <c r="G26" s="2" t="n"/>
    </row>
    <row r="27" ht="33.65" customHeight="1">
      <c r="A27" s="2" t="inlineStr">
        <is>
          <t>FAE</t>
        </is>
      </c>
      <c r="B27" s="3" t="n"/>
      <c r="C27" s="2" t="n">
        <v>2</v>
      </c>
      <c r="D27" s="2" t="inlineStr">
        <is>
          <t>Female WR</t>
        </is>
      </c>
      <c r="E27" s="2" t="n">
        <v>2</v>
      </c>
      <c r="F27" s="2" t="n"/>
      <c r="G27" s="2" t="n"/>
    </row>
    <row r="28" ht="33.65" customHeight="1">
      <c r="A28" s="2" t="inlineStr">
        <is>
          <t>FAE</t>
        </is>
      </c>
      <c r="B28" s="2" t="inlineStr">
        <is>
          <t>Lobby Level 2</t>
        </is>
      </c>
      <c r="C28" s="2" t="n">
        <v>1</v>
      </c>
      <c r="D28" s="2" t="inlineStr">
        <is>
          <t>Male WR</t>
        </is>
      </c>
      <c r="E28" s="2" t="n">
        <v>1</v>
      </c>
      <c r="F28" s="2" t="n"/>
      <c r="G28" s="2" t="n"/>
    </row>
    <row r="29" ht="33.65" customHeight="1">
      <c r="A29" s="2" t="inlineStr">
        <is>
          <t>FAE</t>
        </is>
      </c>
      <c r="B29" s="3" t="n"/>
      <c r="C29" s="2" t="n">
        <v>2</v>
      </c>
      <c r="D29" s="2" t="inlineStr">
        <is>
          <t>Female WR</t>
        </is>
      </c>
      <c r="E29" s="2" t="n">
        <v>2</v>
      </c>
      <c r="F29" s="2" t="n"/>
      <c r="G29" s="2" t="n"/>
    </row>
    <row r="30" ht="33.65" customHeight="1">
      <c r="A30" s="2" t="inlineStr">
        <is>
          <t>FAE</t>
        </is>
      </c>
      <c r="B30" s="2" t="inlineStr">
        <is>
          <t xml:space="preserve">Boulevard level </t>
        </is>
      </c>
      <c r="C30" s="2" t="n">
        <v>1</v>
      </c>
      <c r="D30" s="2" t="inlineStr">
        <is>
          <t>Male WR</t>
        </is>
      </c>
      <c r="E30" s="2" t="n">
        <v>1</v>
      </c>
      <c r="F30" s="2" t="n"/>
      <c r="G30" s="2" t="n"/>
    </row>
    <row r="31" ht="33.65" customHeight="1">
      <c r="A31" s="2" t="inlineStr">
        <is>
          <t>FAE</t>
        </is>
      </c>
      <c r="B31" s="3" t="n"/>
      <c r="C31" s="2" t="n">
        <v>2</v>
      </c>
      <c r="D31" s="2" t="inlineStr">
        <is>
          <t>Female WR</t>
        </is>
      </c>
      <c r="E31" s="2" t="n">
        <v>2</v>
      </c>
      <c r="F31" s="2" t="n"/>
      <c r="G31" s="2" t="n"/>
    </row>
    <row r="32" ht="33.65" customHeight="1">
      <c r="A32" s="2" t="inlineStr">
        <is>
          <t>FAE</t>
        </is>
      </c>
      <c r="B32" s="2" t="inlineStr">
        <is>
          <t>Level G VIP</t>
        </is>
      </c>
      <c r="C32" s="2" t="n">
        <v>1</v>
      </c>
      <c r="D32" s="2" t="inlineStr">
        <is>
          <t>Male WR</t>
        </is>
      </c>
      <c r="E32" s="2" t="n">
        <v>1</v>
      </c>
      <c r="F32" s="2" t="n"/>
      <c r="G32" s="2" t="n"/>
    </row>
    <row r="33" ht="33.65" customHeight="1">
      <c r="A33" s="2" t="inlineStr">
        <is>
          <t>FAE</t>
        </is>
      </c>
      <c r="B33" s="3" t="n"/>
      <c r="C33" s="2" t="n">
        <v>2</v>
      </c>
      <c r="D33" s="2" t="inlineStr">
        <is>
          <t>Female WR</t>
        </is>
      </c>
      <c r="E33" s="2" t="n">
        <v>2</v>
      </c>
      <c r="F33" s="2" t="n"/>
      <c r="G33" s="2" t="n"/>
    </row>
    <row r="34" ht="33.65" customHeight="1">
      <c r="A34" s="2" t="inlineStr">
        <is>
          <t>FAE</t>
        </is>
      </c>
      <c r="B34" s="2" t="inlineStr">
        <is>
          <t>Level  1</t>
        </is>
      </c>
      <c r="C34" s="2" t="n">
        <v>1</v>
      </c>
      <c r="D34" s="2" t="inlineStr">
        <is>
          <t>Male WR</t>
        </is>
      </c>
      <c r="E34" s="2" t="n">
        <v>1</v>
      </c>
      <c r="F34" s="2" t="n"/>
      <c r="G34" s="2" t="n"/>
    </row>
    <row r="35" ht="33.65" customHeight="1">
      <c r="A35" s="2" t="inlineStr">
        <is>
          <t>FAE</t>
        </is>
      </c>
      <c r="B35" s="3" t="n"/>
      <c r="C35" s="2" t="n">
        <v>2</v>
      </c>
      <c r="D35" s="2" t="inlineStr">
        <is>
          <t>Female WR</t>
        </is>
      </c>
      <c r="E35" s="2" t="n">
        <v>2</v>
      </c>
      <c r="F35" s="2" t="n"/>
      <c r="G35" s="2" t="n"/>
    </row>
    <row r="36" ht="33.65" customHeight="1">
      <c r="A36" s="2" t="inlineStr">
        <is>
          <t>FAE</t>
        </is>
      </c>
      <c r="B36" s="2" t="inlineStr">
        <is>
          <t>Level  2</t>
        </is>
      </c>
      <c r="C36" s="2" t="n">
        <v>1</v>
      </c>
      <c r="D36" s="2" t="inlineStr">
        <is>
          <t>Male WR</t>
        </is>
      </c>
      <c r="E36" s="2" t="n">
        <v>1</v>
      </c>
      <c r="F36" s="2" t="n"/>
      <c r="G36" s="2" t="n"/>
    </row>
    <row r="37" ht="33.65" customHeight="1">
      <c r="A37" s="2" t="inlineStr">
        <is>
          <t>FAE</t>
        </is>
      </c>
      <c r="B37" s="3" t="n"/>
      <c r="C37" s="2" t="n">
        <v>2</v>
      </c>
      <c r="D37" s="2" t="inlineStr">
        <is>
          <t>Female WR</t>
        </is>
      </c>
      <c r="E37" s="2" t="n">
        <v>2</v>
      </c>
      <c r="F37" s="2" t="n"/>
      <c r="G37" s="2" t="n"/>
    </row>
    <row r="38" ht="33.65" customHeight="1">
      <c r="A38" s="2" t="inlineStr">
        <is>
          <t>FAE</t>
        </is>
      </c>
      <c r="B38" s="2" t="inlineStr">
        <is>
          <t>Level  3</t>
        </is>
      </c>
      <c r="C38" s="2" t="n">
        <v>1</v>
      </c>
      <c r="D38" s="2" t="inlineStr">
        <is>
          <t>Male WR</t>
        </is>
      </c>
      <c r="E38" s="2" t="n">
        <v>1</v>
      </c>
      <c r="F38" s="2" t="n"/>
      <c r="G38" s="2" t="n"/>
    </row>
    <row r="39" ht="33.65" customHeight="1">
      <c r="A39" s="2" t="inlineStr">
        <is>
          <t>FAE</t>
        </is>
      </c>
      <c r="B39" s="3" t="n"/>
      <c r="C39" s="2" t="n">
        <v>2</v>
      </c>
      <c r="D39" s="2" t="inlineStr">
        <is>
          <t>Female WR</t>
        </is>
      </c>
      <c r="E39" s="2" t="n">
        <v>2</v>
      </c>
      <c r="F39" s="2" t="n"/>
      <c r="G39" s="2" t="n"/>
    </row>
    <row r="40" ht="33.65" customHeight="1">
      <c r="A40" s="2" t="inlineStr">
        <is>
          <t>FAE</t>
        </is>
      </c>
      <c r="B40" s="2" t="inlineStr">
        <is>
          <t>Level  4</t>
        </is>
      </c>
      <c r="C40" s="2" t="n">
        <v>1</v>
      </c>
      <c r="D40" s="2" t="inlineStr">
        <is>
          <t>Male WR</t>
        </is>
      </c>
      <c r="E40" s="2" t="n">
        <v>1</v>
      </c>
      <c r="F40" s="2" t="n"/>
      <c r="G40" s="2" t="n"/>
    </row>
    <row r="41" ht="33.65" customHeight="1">
      <c r="A41" s="2" t="inlineStr">
        <is>
          <t>FAE</t>
        </is>
      </c>
      <c r="B41" s="3" t="n"/>
      <c r="C41" s="2" t="n">
        <v>2</v>
      </c>
      <c r="D41" s="2" t="inlineStr">
        <is>
          <t>Female WR</t>
        </is>
      </c>
      <c r="E41" s="2" t="n">
        <v>2</v>
      </c>
      <c r="F41" s="2" t="n"/>
      <c r="G41" s="2" t="n"/>
    </row>
    <row r="42" ht="33.65" customHeight="1">
      <c r="A42" s="4" t="inlineStr">
        <is>
          <t>FAE</t>
        </is>
      </c>
      <c r="B42" s="10" t="n"/>
      <c r="C42" s="5" t="n"/>
      <c r="D42" s="6" t="inlineStr">
        <is>
          <t>Male WR</t>
        </is>
      </c>
      <c r="E42" s="6">
        <f>SUM(E26+E28+E30+E32+E34+E36+E38+E40)</f>
        <v/>
      </c>
      <c r="F42" s="6" t="n"/>
      <c r="G42" s="6" t="n"/>
    </row>
    <row r="43" ht="33.65" customHeight="1">
      <c r="A43" s="4" t="inlineStr">
        <is>
          <t>FAE</t>
        </is>
      </c>
      <c r="B43" s="10" t="n"/>
      <c r="C43" s="5" t="n"/>
      <c r="D43" s="6" t="inlineStr">
        <is>
          <t>Female WR</t>
        </is>
      </c>
      <c r="E43" s="6">
        <f>SUM(E27+E29+E31+E33+E35+E37+E39+E41)</f>
        <v/>
      </c>
      <c r="F43" s="6" t="n"/>
      <c r="G43" s="6" t="n"/>
    </row>
    <row r="44" ht="33.65" customHeight="1">
      <c r="A44" s="4" t="inlineStr">
        <is>
          <t>FAE</t>
        </is>
      </c>
      <c r="B44" s="10" t="n"/>
      <c r="C44" s="5" t="n"/>
      <c r="D44" s="6" t="n"/>
      <c r="E44" s="6">
        <f>SUM(E42+E43)</f>
        <v/>
      </c>
      <c r="F44" s="6" t="n"/>
      <c r="G44" s="6" t="n"/>
    </row>
    <row r="45" ht="33.65" customHeight="1">
      <c r="A45" s="2" t="inlineStr">
        <is>
          <t>Zabeel</t>
        </is>
      </c>
      <c r="B45" s="2" t="inlineStr">
        <is>
          <t>Gym Side Toilet</t>
        </is>
      </c>
      <c r="C45" s="2" t="n">
        <v>1</v>
      </c>
      <c r="D45" s="2" t="inlineStr">
        <is>
          <t>Female</t>
        </is>
      </c>
      <c r="E45" s="2" t="n">
        <v>1</v>
      </c>
      <c r="F45" s="2" t="n"/>
      <c r="G45" s="2" t="n"/>
    </row>
    <row r="46" ht="33.65" customHeight="1">
      <c r="A46" s="2" t="inlineStr">
        <is>
          <t>Zabeel</t>
        </is>
      </c>
      <c r="B46" s="2" t="inlineStr">
        <is>
          <t xml:space="preserve"> FC Near IL  FORNO </t>
        </is>
      </c>
      <c r="C46" s="2" t="n">
        <v>1</v>
      </c>
      <c r="D46" s="2" t="inlineStr">
        <is>
          <t>BTW MALE &amp; FEMALE</t>
        </is>
      </c>
      <c r="E46" s="2" t="n">
        <v>1</v>
      </c>
      <c r="F46" s="2" t="n"/>
      <c r="G46" s="2" t="inlineStr">
        <is>
          <t xml:space="preserve">Under Renovation </t>
        </is>
      </c>
    </row>
    <row r="47" ht="33.65" customHeight="1">
      <c r="A47" s="2" t="inlineStr">
        <is>
          <t>Zabeel</t>
        </is>
      </c>
      <c r="B47" s="2" t="inlineStr">
        <is>
          <t xml:space="preserve">Near LuLu </t>
        </is>
      </c>
      <c r="C47" s="2" t="n">
        <v>1</v>
      </c>
      <c r="D47" s="2" t="inlineStr">
        <is>
          <t xml:space="preserve">Female </t>
        </is>
      </c>
      <c r="E47" s="2" t="n">
        <v>1</v>
      </c>
      <c r="F47" s="2" t="n"/>
      <c r="G47" s="2" t="n"/>
    </row>
    <row r="48" ht="33.65" customHeight="1">
      <c r="A48" s="2" t="inlineStr">
        <is>
          <t>Zabeel</t>
        </is>
      </c>
      <c r="B48" s="3" t="n"/>
      <c r="C48" s="2" t="n">
        <v>2</v>
      </c>
      <c r="D48" s="2" t="n"/>
      <c r="E48" s="2" t="n">
        <v>3</v>
      </c>
      <c r="F48" s="2" t="n"/>
      <c r="G48" s="2" t="n"/>
    </row>
    <row r="49" ht="33.65" customHeight="1">
      <c r="A49" s="2" t="inlineStr">
        <is>
          <t>CT</t>
        </is>
      </c>
      <c r="B49" s="2" t="inlineStr">
        <is>
          <t xml:space="preserve">GF China Town </t>
        </is>
      </c>
      <c r="C49" s="2" t="n">
        <v>1</v>
      </c>
      <c r="D49" s="2" t="inlineStr">
        <is>
          <t>Female WR</t>
        </is>
      </c>
      <c r="E49" s="2" t="n">
        <v>1</v>
      </c>
      <c r="F49" s="2" t="n"/>
      <c r="G49" s="2" t="n"/>
    </row>
    <row r="50" ht="33.65" customHeight="1">
      <c r="A50" s="2" t="inlineStr">
        <is>
          <t>CT</t>
        </is>
      </c>
      <c r="B50" s="3" t="n"/>
      <c r="C50" s="2" t="n">
        <v>2</v>
      </c>
      <c r="D50" s="2" t="n"/>
      <c r="E50" s="2" t="n"/>
      <c r="F50" s="2" t="n"/>
      <c r="G50" s="2" t="n"/>
    </row>
    <row r="51" ht="33.65" customHeight="1">
      <c r="A51" s="2" t="inlineStr">
        <is>
          <t>CT</t>
        </is>
      </c>
      <c r="B51" s="2" t="inlineStr">
        <is>
          <t xml:space="preserve">FF China Town </t>
        </is>
      </c>
      <c r="C51" s="2" t="n">
        <v>1</v>
      </c>
      <c r="D51" s="2" t="inlineStr">
        <is>
          <t>Male WR</t>
        </is>
      </c>
      <c r="E51" s="2" t="n">
        <v>1</v>
      </c>
      <c r="F51" s="2" t="n"/>
      <c r="G51" s="2" t="n"/>
    </row>
    <row r="52" ht="33.65" customHeight="1">
      <c r="A52" s="2" t="inlineStr">
        <is>
          <t>CT</t>
        </is>
      </c>
      <c r="B52" s="3" t="n"/>
      <c r="C52" s="2" t="n">
        <v>2</v>
      </c>
      <c r="D52" s="2" t="inlineStr">
        <is>
          <t>Female WR</t>
        </is>
      </c>
      <c r="E52" s="2" t="n">
        <v>1</v>
      </c>
      <c r="F52" s="2" t="n"/>
      <c r="G52" s="2" t="n"/>
    </row>
    <row r="53" ht="33.65" customHeight="1">
      <c r="A53" s="4" t="inlineStr">
        <is>
          <t>CT</t>
        </is>
      </c>
      <c r="B53" s="10" t="n"/>
      <c r="C53" s="5" t="n"/>
      <c r="D53" s="6" t="inlineStr">
        <is>
          <t>Male WR</t>
        </is>
      </c>
      <c r="E53" s="6" t="n">
        <v>1</v>
      </c>
      <c r="F53" s="6" t="n"/>
      <c r="G53" s="6" t="n"/>
    </row>
    <row r="54" ht="33.65" customHeight="1">
      <c r="A54" s="4" t="inlineStr">
        <is>
          <t>CT</t>
        </is>
      </c>
      <c r="B54" s="10" t="n"/>
      <c r="C54" s="5" t="n"/>
      <c r="D54" s="6" t="inlineStr">
        <is>
          <t>Female WR</t>
        </is>
      </c>
      <c r="E54" s="6">
        <f>SUM(E49+E52)</f>
        <v/>
      </c>
      <c r="F54" s="6" t="n"/>
      <c r="G54" s="6" t="n"/>
    </row>
    <row r="55" ht="33.65" customHeight="1">
      <c r="A55" s="4" t="inlineStr">
        <is>
          <t>CT</t>
        </is>
      </c>
      <c r="B55" s="10" t="n"/>
      <c r="C55" s="5" t="n"/>
      <c r="D55" s="6" t="n"/>
      <c r="E55" s="6">
        <f>SUM(E53+E54)</f>
        <v/>
      </c>
      <c r="F55" s="6" t="n"/>
      <c r="G55" s="6" t="n"/>
    </row>
    <row r="56" ht="33.65" customHeight="1">
      <c r="A56" s="2" t="inlineStr">
        <is>
          <t>FV</t>
        </is>
      </c>
      <c r="B56" s="2" t="inlineStr">
        <is>
          <t>GF - Tower 1</t>
        </is>
      </c>
      <c r="C56" s="2" t="n">
        <v>1</v>
      </c>
      <c r="D56" s="2" t="inlineStr">
        <is>
          <t>Male WR</t>
        </is>
      </c>
      <c r="E56" s="2" t="n"/>
      <c r="F56" s="2" t="n"/>
      <c r="G56" s="2" t="n"/>
    </row>
    <row r="57" ht="33.65" customHeight="1">
      <c r="A57" s="2" t="inlineStr">
        <is>
          <t>FV</t>
        </is>
      </c>
      <c r="B57" s="3" t="n"/>
      <c r="C57" s="2" t="n">
        <v>2</v>
      </c>
      <c r="D57" s="2" t="inlineStr">
        <is>
          <t>Female WR</t>
        </is>
      </c>
      <c r="E57" s="2" t="n">
        <v>1</v>
      </c>
      <c r="F57" s="2" t="n"/>
      <c r="G57" s="2" t="n"/>
    </row>
    <row r="58" ht="33.65" customHeight="1">
      <c r="A58" s="2" t="inlineStr">
        <is>
          <t>FV</t>
        </is>
      </c>
      <c r="B58" s="2" t="inlineStr">
        <is>
          <t>LGM - Tower 1</t>
        </is>
      </c>
      <c r="C58" s="2" t="n">
        <v>1</v>
      </c>
      <c r="D58" s="2" t="inlineStr">
        <is>
          <t>Male WR</t>
        </is>
      </c>
      <c r="E58" s="2" t="n"/>
      <c r="F58" s="2" t="n"/>
      <c r="G58" s="2" t="n"/>
    </row>
    <row r="59" ht="33.65" customHeight="1">
      <c r="A59" s="2" t="inlineStr">
        <is>
          <t>FV</t>
        </is>
      </c>
      <c r="B59" s="3" t="n"/>
      <c r="C59" s="2" t="n">
        <v>2</v>
      </c>
      <c r="D59" s="2" t="inlineStr">
        <is>
          <t>Female WR</t>
        </is>
      </c>
      <c r="E59" s="2" t="n">
        <v>1</v>
      </c>
      <c r="F59" s="2" t="n"/>
      <c r="G59" s="2" t="n"/>
    </row>
    <row r="60" ht="33.65" customHeight="1">
      <c r="A60" s="2" t="inlineStr">
        <is>
          <t>FV</t>
        </is>
      </c>
      <c r="B60" s="2" t="inlineStr">
        <is>
          <t>P1- Tower 1</t>
        </is>
      </c>
      <c r="C60" s="2" t="n">
        <v>1</v>
      </c>
      <c r="D60" s="2" t="inlineStr">
        <is>
          <t>Male WR</t>
        </is>
      </c>
      <c r="E60" s="2" t="n"/>
      <c r="F60" s="2" t="n"/>
      <c r="G60" s="2" t="n"/>
    </row>
    <row r="61" ht="33.65" customHeight="1">
      <c r="A61" s="2" t="inlineStr">
        <is>
          <t>FV</t>
        </is>
      </c>
      <c r="B61" s="3" t="n"/>
      <c r="C61" s="2" t="n">
        <v>2</v>
      </c>
      <c r="D61" s="2" t="inlineStr">
        <is>
          <t>Female WR</t>
        </is>
      </c>
      <c r="E61" s="2" t="n">
        <v>1</v>
      </c>
      <c r="F61" s="2" t="n"/>
      <c r="G61" s="2" t="n"/>
    </row>
    <row r="62" ht="33.65" customHeight="1">
      <c r="A62" s="2" t="inlineStr">
        <is>
          <t>FV</t>
        </is>
      </c>
      <c r="B62" s="2" t="inlineStr">
        <is>
          <t xml:space="preserve">P1- Tower 1 -PR Side </t>
        </is>
      </c>
      <c r="C62" s="2" t="n">
        <v>1</v>
      </c>
      <c r="D62" s="2" t="inlineStr">
        <is>
          <t>Male WR</t>
        </is>
      </c>
      <c r="E62" s="2" t="n">
        <v>1</v>
      </c>
      <c r="F62" s="2" t="n"/>
      <c r="G62" s="2" t="n"/>
    </row>
    <row r="63" ht="33.65" customHeight="1">
      <c r="A63" s="2" t="inlineStr">
        <is>
          <t>FV</t>
        </is>
      </c>
      <c r="B63" s="3" t="n"/>
      <c r="C63" s="2" t="n">
        <v>2</v>
      </c>
      <c r="D63" s="2" t="inlineStr">
        <is>
          <t>Female WR</t>
        </is>
      </c>
      <c r="E63" s="2" t="n">
        <v>1</v>
      </c>
      <c r="F63" s="2" t="n"/>
      <c r="G63" s="2" t="n"/>
    </row>
    <row r="64" ht="33.65" customHeight="1">
      <c r="A64" s="2" t="inlineStr">
        <is>
          <t>FV</t>
        </is>
      </c>
      <c r="B64" s="2" t="inlineStr">
        <is>
          <t xml:space="preserve"> GF-Link Bridge -Food court</t>
        </is>
      </c>
      <c r="C64" s="2" t="n">
        <v>1</v>
      </c>
      <c r="D64" s="2" t="inlineStr">
        <is>
          <t>Male WR</t>
        </is>
      </c>
      <c r="E64" s="2" t="n">
        <v>1</v>
      </c>
      <c r="F64" s="2" t="n"/>
      <c r="G64" s="2" t="n"/>
    </row>
    <row r="65" ht="33.65" customHeight="1">
      <c r="A65" s="2" t="inlineStr">
        <is>
          <t>FV</t>
        </is>
      </c>
      <c r="B65" s="3" t="n"/>
      <c r="C65" s="2" t="n">
        <v>2</v>
      </c>
      <c r="D65" s="2" t="inlineStr">
        <is>
          <t>Female WR</t>
        </is>
      </c>
      <c r="E65" s="2" t="n">
        <v>1</v>
      </c>
      <c r="F65" s="2" t="n"/>
      <c r="G65" s="2" t="n"/>
    </row>
    <row r="66" ht="33.65" customHeight="1">
      <c r="A66" s="2" t="inlineStr">
        <is>
          <t>FV</t>
        </is>
      </c>
      <c r="B66" s="2" t="inlineStr">
        <is>
          <t xml:space="preserve"> LGM-Link Bridge -Food court</t>
        </is>
      </c>
      <c r="C66" s="2" t="n">
        <v>1</v>
      </c>
      <c r="D66" s="2" t="inlineStr">
        <is>
          <t>Male WR</t>
        </is>
      </c>
      <c r="E66" s="2" t="n">
        <v>1</v>
      </c>
      <c r="F66" s="2" t="n"/>
      <c r="G66" s="2" t="inlineStr">
        <is>
          <t xml:space="preserve">Not Operational </t>
        </is>
      </c>
    </row>
    <row r="67" ht="33.65" customHeight="1">
      <c r="A67" s="2" t="inlineStr">
        <is>
          <t>FV</t>
        </is>
      </c>
      <c r="B67" s="3" t="n"/>
      <c r="C67" s="2" t="n">
        <v>2</v>
      </c>
      <c r="D67" s="2" t="inlineStr">
        <is>
          <t>Female WR</t>
        </is>
      </c>
      <c r="E67" s="2" t="n">
        <v>1</v>
      </c>
      <c r="F67" s="2" t="n"/>
      <c r="G67" s="2" t="n"/>
    </row>
    <row r="68" ht="33.65" customHeight="1">
      <c r="A68" s="2" t="inlineStr">
        <is>
          <t>FV</t>
        </is>
      </c>
      <c r="B68" s="2" t="inlineStr">
        <is>
          <t xml:space="preserve"> P1-Link Bridge -Food court</t>
        </is>
      </c>
      <c r="C68" s="2" t="n">
        <v>1</v>
      </c>
      <c r="D68" s="2" t="inlineStr">
        <is>
          <t>Male WR</t>
        </is>
      </c>
      <c r="E68" s="2" t="n">
        <v>1</v>
      </c>
      <c r="F68" s="2" t="n"/>
      <c r="G68" s="2" t="n"/>
    </row>
    <row r="69" ht="33.65" customHeight="1">
      <c r="A69" s="2" t="inlineStr">
        <is>
          <t>FV</t>
        </is>
      </c>
      <c r="B69" s="3" t="n"/>
      <c r="C69" s="2" t="n">
        <v>2</v>
      </c>
      <c r="D69" s="2" t="inlineStr">
        <is>
          <t>Female WR</t>
        </is>
      </c>
      <c r="E69" s="2" t="n">
        <v>1</v>
      </c>
      <c r="F69" s="2" t="n"/>
      <c r="G69" s="2" t="n"/>
    </row>
    <row r="70" ht="33.65" customHeight="1">
      <c r="A70" s="2" t="inlineStr">
        <is>
          <t>FV</t>
        </is>
      </c>
      <c r="B70" s="2" t="inlineStr">
        <is>
          <t xml:space="preserve">GF -Tower 2 Food court </t>
        </is>
      </c>
      <c r="C70" s="2" t="n">
        <v>1</v>
      </c>
      <c r="D70" s="2" t="inlineStr">
        <is>
          <t>Male WR</t>
        </is>
      </c>
      <c r="E70" s="2" t="n">
        <v>1</v>
      </c>
      <c r="F70" s="2" t="n"/>
      <c r="G70" s="2" t="n"/>
    </row>
    <row r="71" ht="33.65" customHeight="1">
      <c r="A71" s="2" t="inlineStr">
        <is>
          <t>FV</t>
        </is>
      </c>
      <c r="B71" s="3" t="n"/>
      <c r="C71" s="2" t="n">
        <v>2</v>
      </c>
      <c r="D71" s="2" t="inlineStr">
        <is>
          <t>Female WR</t>
        </is>
      </c>
      <c r="E71" s="2" t="n">
        <v>1</v>
      </c>
      <c r="F71" s="2" t="n"/>
      <c r="G71" s="2" t="n"/>
    </row>
    <row r="72" ht="33.65" customHeight="1">
      <c r="A72" s="2" t="inlineStr">
        <is>
          <t>FV</t>
        </is>
      </c>
      <c r="B72" s="2" t="inlineStr">
        <is>
          <t xml:space="preserve">LGM -Tower 2 Food court </t>
        </is>
      </c>
      <c r="C72" s="2" t="n">
        <v>1</v>
      </c>
      <c r="D72" s="2" t="inlineStr">
        <is>
          <t>Male WR</t>
        </is>
      </c>
      <c r="E72" s="2" t="n">
        <v>1</v>
      </c>
      <c r="F72" s="2" t="n"/>
      <c r="G72" s="2" t="inlineStr">
        <is>
          <t xml:space="preserve">Not Operational </t>
        </is>
      </c>
    </row>
    <row r="73" ht="33.65" customHeight="1">
      <c r="A73" s="2" t="inlineStr">
        <is>
          <t>FV</t>
        </is>
      </c>
      <c r="B73" s="3" t="n"/>
      <c r="C73" s="2" t="n">
        <v>2</v>
      </c>
      <c r="D73" s="2" t="inlineStr">
        <is>
          <t>Female WR</t>
        </is>
      </c>
      <c r="E73" s="2" t="n">
        <v>1</v>
      </c>
      <c r="F73" s="2" t="n"/>
      <c r="G73" s="2" t="n"/>
    </row>
    <row r="74" ht="33.65" customHeight="1">
      <c r="A74" s="2" t="inlineStr">
        <is>
          <t>FV</t>
        </is>
      </c>
      <c r="B74" s="2" t="inlineStr">
        <is>
          <t xml:space="preserve">P1-Tower 2 Food court </t>
        </is>
      </c>
      <c r="C74" s="2" t="n">
        <v>1</v>
      </c>
      <c r="D74" s="2" t="inlineStr">
        <is>
          <t>Male WR</t>
        </is>
      </c>
      <c r="E74" s="2" t="n">
        <v>1</v>
      </c>
      <c r="F74" s="2" t="n"/>
      <c r="G74" s="2" t="n"/>
    </row>
    <row r="75" ht="33.65" customHeight="1">
      <c r="A75" s="2" t="inlineStr">
        <is>
          <t>FV</t>
        </is>
      </c>
      <c r="B75" s="3" t="n"/>
      <c r="C75" s="2" t="n">
        <v>2</v>
      </c>
      <c r="D75" s="2" t="inlineStr">
        <is>
          <t>Female WR</t>
        </is>
      </c>
      <c r="E75" s="2" t="n">
        <v>1</v>
      </c>
      <c r="F75" s="2" t="n"/>
      <c r="G75" s="2" t="n"/>
    </row>
    <row r="76" ht="33.65" customHeight="1">
      <c r="A76" s="4" t="inlineStr">
        <is>
          <t>FV</t>
        </is>
      </c>
      <c r="B76" s="10" t="n"/>
      <c r="C76" s="5" t="n"/>
      <c r="D76" s="6" t="inlineStr">
        <is>
          <t>Male WR</t>
        </is>
      </c>
      <c r="E76" s="6">
        <f>SUM(E56+E58+E60+E62+E64+E66+E68+E70+E72+E74)</f>
        <v/>
      </c>
      <c r="F76" s="6" t="n"/>
      <c r="G76" s="6" t="n"/>
    </row>
    <row r="77" ht="33.65" customHeight="1">
      <c r="A77" s="4" t="inlineStr">
        <is>
          <t>FV</t>
        </is>
      </c>
      <c r="B77" s="10" t="n"/>
      <c r="C77" s="5" t="n"/>
      <c r="D77" s="6" t="inlineStr">
        <is>
          <t>Female WR</t>
        </is>
      </c>
      <c r="E77" s="6">
        <f>SUM(E57+E59+E61+E63+E65+E67+E69+E71+E73+E75)</f>
        <v/>
      </c>
      <c r="F77" s="6" t="n"/>
      <c r="G77" s="6" t="n"/>
    </row>
    <row r="78" ht="33.65" customHeight="1">
      <c r="A78" s="4" t="inlineStr">
        <is>
          <t>FV</t>
        </is>
      </c>
      <c r="B78" s="10" t="n"/>
      <c r="C78" s="5" t="n"/>
      <c r="D78" s="6" t="n"/>
      <c r="E78" s="6">
        <f>SUM(E76+E77)</f>
        <v/>
      </c>
      <c r="F78" s="6" t="n"/>
      <c r="G78" s="6" t="n"/>
    </row>
  </sheetData>
  <mergeCells count="49">
    <mergeCell ref="A25:C25"/>
    <mergeCell ref="B47:B48"/>
    <mergeCell ref="B62:B63"/>
    <mergeCell ref="B72:B73"/>
    <mergeCell ref="B3:B4"/>
    <mergeCell ref="B70:B71"/>
    <mergeCell ref="B17:B18"/>
    <mergeCell ref="B11:B12"/>
    <mergeCell ref="C1:C2"/>
    <mergeCell ref="E1:E2"/>
    <mergeCell ref="A55:C55"/>
    <mergeCell ref="B58:B59"/>
    <mergeCell ref="B38:B39"/>
    <mergeCell ref="A42:C42"/>
    <mergeCell ref="B23:B24"/>
    <mergeCell ref="A76:C76"/>
    <mergeCell ref="B13:B14"/>
    <mergeCell ref="B60:B61"/>
    <mergeCell ref="B1:B2"/>
    <mergeCell ref="A53:C53"/>
    <mergeCell ref="B34:B35"/>
    <mergeCell ref="B28:B29"/>
    <mergeCell ref="A43:C43"/>
    <mergeCell ref="B19:B20"/>
    <mergeCell ref="B68:B69"/>
    <mergeCell ref="B15:B16"/>
    <mergeCell ref="B9:B10"/>
    <mergeCell ref="B49:B50"/>
    <mergeCell ref="A44:C44"/>
    <mergeCell ref="B36:B37"/>
    <mergeCell ref="B74:B75"/>
    <mergeCell ref="B64:B65"/>
    <mergeCell ref="G1:G2"/>
    <mergeCell ref="A77:C77"/>
    <mergeCell ref="B40:B41"/>
    <mergeCell ref="B5:B6"/>
    <mergeCell ref="B30:B31"/>
    <mergeCell ref="B32:B33"/>
    <mergeCell ref="B51:B52"/>
    <mergeCell ref="B66:B67"/>
    <mergeCell ref="B56:B57"/>
    <mergeCell ref="B7:B8"/>
    <mergeCell ref="D1:D2"/>
    <mergeCell ref="A78:C78"/>
    <mergeCell ref="F1:F2"/>
    <mergeCell ref="B26:B27"/>
    <mergeCell ref="B21:B22"/>
    <mergeCell ref="A54:C54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26.45" customWidth="1" min="8" max="8"/>
  </cols>
  <sheetData>
    <row r="1" ht="37.4" customHeight="1">
      <c r="A1" s="11" t="inlineStr">
        <is>
          <t xml:space="preserve">Location </t>
        </is>
      </c>
      <c r="B1" s="11" t="inlineStr">
        <is>
          <t>WC</t>
        </is>
      </c>
      <c r="C1" s="11" t="inlineStr">
        <is>
          <t xml:space="preserve">Pedal Bins </t>
        </is>
      </c>
      <c r="D1" s="11" t="inlineStr">
        <is>
          <t xml:space="preserve">Toilet Rolls Dispensers </t>
        </is>
      </c>
      <c r="E1" s="11" t="inlineStr">
        <is>
          <t>Urinal</t>
        </is>
      </c>
      <c r="F1" s="11" t="inlineStr">
        <is>
          <t xml:space="preserve">Tissue Dispensers </t>
        </is>
      </c>
      <c r="G1" s="11" t="inlineStr">
        <is>
          <t xml:space="preserve">washbasin </t>
        </is>
      </c>
      <c r="H1" s="11" t="inlineStr">
        <is>
          <t>Remarks</t>
        </is>
      </c>
    </row>
    <row r="2" ht="37.4" customHeight="1">
      <c r="A2" s="11" t="n"/>
      <c r="B2" s="11" t="n"/>
      <c r="C2" s="11" t="n"/>
      <c r="D2" s="11" t="n"/>
      <c r="E2" s="11" t="n"/>
      <c r="F2" s="11" t="n"/>
      <c r="G2" s="11" t="n"/>
      <c r="H2" s="11" t="n"/>
    </row>
    <row r="3" ht="25" customHeight="1">
      <c r="A3" s="12" t="inlineStr">
        <is>
          <t>Malls</t>
        </is>
      </c>
      <c r="B3" s="12" t="n">
        <v>474</v>
      </c>
      <c r="C3" s="12" t="n">
        <v>474</v>
      </c>
      <c r="D3" s="12" t="n">
        <v>17</v>
      </c>
      <c r="E3" s="12" t="n">
        <v>139</v>
      </c>
      <c r="F3" s="12" t="n">
        <v>79</v>
      </c>
      <c r="G3" s="12" t="n">
        <v>398</v>
      </c>
      <c r="H3" s="12" t="n"/>
    </row>
    <row r="4" ht="25" customHeight="1">
      <c r="A4" s="12" t="inlineStr">
        <is>
          <t>FAE</t>
        </is>
      </c>
      <c r="B4" s="12" t="n">
        <v>161</v>
      </c>
      <c r="C4" s="12" t="n">
        <v>161</v>
      </c>
      <c r="D4" s="12" t="n">
        <v>0</v>
      </c>
      <c r="E4" s="12" t="n">
        <v>56</v>
      </c>
      <c r="F4" s="12" t="n">
        <v>0</v>
      </c>
      <c r="G4" s="12" t="n">
        <v>170</v>
      </c>
      <c r="H4" s="12" t="n"/>
    </row>
    <row r="5" ht="25" customHeight="1">
      <c r="A5" s="12" t="inlineStr">
        <is>
          <t xml:space="preserve">Zabeel </t>
        </is>
      </c>
      <c r="B5" s="12" t="n">
        <v>65</v>
      </c>
      <c r="C5" s="12" t="n">
        <v>65</v>
      </c>
      <c r="D5" s="12" t="n">
        <v>53</v>
      </c>
      <c r="E5" s="12" t="n">
        <v>23</v>
      </c>
      <c r="F5" s="12" t="n">
        <v>5</v>
      </c>
      <c r="G5" s="12" t="n">
        <v>69</v>
      </c>
      <c r="H5" s="12" t="n"/>
    </row>
    <row r="6" ht="25" customHeight="1">
      <c r="A6" s="12" t="inlineStr">
        <is>
          <t xml:space="preserve">Malls Staff </t>
        </is>
      </c>
      <c r="B6" s="12" t="n">
        <v>33</v>
      </c>
      <c r="C6" s="12" t="n">
        <v>33</v>
      </c>
      <c r="D6" s="12" t="n">
        <v>33</v>
      </c>
      <c r="E6" s="12" t="n">
        <v>22</v>
      </c>
      <c r="F6" s="12" t="n">
        <v>0</v>
      </c>
      <c r="G6" s="12" t="n">
        <v>37</v>
      </c>
      <c r="H6" s="12" t="n"/>
    </row>
    <row r="7" ht="25" customHeight="1">
      <c r="A7" s="12" t="inlineStr">
        <is>
          <t xml:space="preserve">FAE Staff + Driver </t>
        </is>
      </c>
      <c r="B7" s="12" t="n">
        <v>60</v>
      </c>
      <c r="C7" s="12" t="n">
        <v>60</v>
      </c>
      <c r="D7" s="12" t="n">
        <v>60</v>
      </c>
      <c r="E7" s="12" t="n">
        <v>21</v>
      </c>
      <c r="F7" s="12" t="n">
        <v>0</v>
      </c>
      <c r="G7" s="12" t="n">
        <v>63</v>
      </c>
      <c r="H7" s="12" t="n"/>
    </row>
    <row r="8" ht="25" customHeight="1">
      <c r="A8" s="12" t="inlineStr">
        <is>
          <t xml:space="preserve">FAE Handicap </t>
        </is>
      </c>
      <c r="B8" s="12" t="n">
        <v>18</v>
      </c>
      <c r="C8" s="12" t="n">
        <v>18</v>
      </c>
      <c r="D8" s="12" t="n">
        <v>0</v>
      </c>
      <c r="E8" s="12" t="n">
        <v>0</v>
      </c>
      <c r="F8" s="12" t="n">
        <v>0</v>
      </c>
      <c r="G8" s="12" t="n">
        <v>18</v>
      </c>
      <c r="H8" s="12" t="n"/>
    </row>
    <row r="9" ht="25" customHeight="1">
      <c r="A9" s="12" t="inlineStr">
        <is>
          <t>Malls Handicap</t>
        </is>
      </c>
      <c r="B9" s="12" t="n">
        <v>6</v>
      </c>
      <c r="C9" s="12" t="n">
        <v>6</v>
      </c>
      <c r="D9" s="12" t="n">
        <v>6</v>
      </c>
      <c r="E9" s="12" t="n">
        <v>0</v>
      </c>
      <c r="F9" s="12" t="n">
        <v>0</v>
      </c>
      <c r="G9" s="12" t="n">
        <v>6</v>
      </c>
      <c r="H9" s="12" t="n"/>
    </row>
    <row r="10" ht="25" customHeight="1">
      <c r="A10" s="12" t="inlineStr">
        <is>
          <t>Zabeel Handicap</t>
        </is>
      </c>
      <c r="B10" s="12" t="n">
        <v>10</v>
      </c>
      <c r="C10" s="12" t="n">
        <v>10</v>
      </c>
      <c r="D10" s="12" t="n">
        <v>8</v>
      </c>
      <c r="E10" s="12" t="n">
        <v>0</v>
      </c>
      <c r="F10" s="12" t="n">
        <v>0</v>
      </c>
      <c r="G10" s="12" t="n">
        <v>10</v>
      </c>
      <c r="H10" s="12" t="n"/>
    </row>
    <row r="11" ht="25" customHeight="1">
      <c r="A11" s="12" t="inlineStr">
        <is>
          <t xml:space="preserve">External Driver </t>
        </is>
      </c>
      <c r="B11" s="12" t="n">
        <v>42</v>
      </c>
      <c r="C11" s="12" t="n">
        <v>42</v>
      </c>
      <c r="D11" s="12" t="n">
        <v>42</v>
      </c>
      <c r="E11" s="12" t="n">
        <v>4</v>
      </c>
      <c r="F11" s="12" t="n">
        <v>0</v>
      </c>
      <c r="G11" s="12" t="n">
        <v>39</v>
      </c>
      <c r="H11" s="12" t="n"/>
    </row>
    <row r="12" ht="25" customHeight="1">
      <c r="A12" s="12" t="inlineStr">
        <is>
          <t xml:space="preserve">FV </t>
        </is>
      </c>
      <c r="B12" s="12" t="n">
        <v>207</v>
      </c>
      <c r="C12" s="12" t="n">
        <v>207</v>
      </c>
      <c r="D12" s="12" t="n">
        <v>207</v>
      </c>
      <c r="E12" s="12" t="n">
        <v>73</v>
      </c>
      <c r="F12" s="12" t="n">
        <v>0</v>
      </c>
      <c r="G12" s="12" t="n">
        <v>132</v>
      </c>
      <c r="H12" s="12" t="n"/>
    </row>
    <row r="13" ht="25" customHeight="1">
      <c r="A13" s="12" t="inlineStr">
        <is>
          <t>CT</t>
        </is>
      </c>
      <c r="B13" s="12" t="n">
        <v>51</v>
      </c>
      <c r="C13" s="12" t="n">
        <v>51</v>
      </c>
      <c r="D13" s="12" t="n">
        <v>51</v>
      </c>
      <c r="E13" s="12" t="n">
        <v>9</v>
      </c>
      <c r="F13" s="12" t="n">
        <v>0</v>
      </c>
      <c r="G13" s="12" t="n">
        <v>41</v>
      </c>
      <c r="H13" s="12" t="n"/>
    </row>
    <row r="14" ht="25" customHeight="1">
      <c r="A14" s="12" t="inlineStr">
        <is>
          <t xml:space="preserve">Malls,FAE,ZB.FV &amp; CT baby room </t>
        </is>
      </c>
      <c r="B14" s="12" t="n">
        <v>0</v>
      </c>
      <c r="C14" s="12" t="n"/>
      <c r="D14" s="12" t="n"/>
      <c r="E14" s="12" t="n">
        <v>0</v>
      </c>
      <c r="F14" s="12" t="n"/>
      <c r="G14" s="12" t="n">
        <v>69</v>
      </c>
      <c r="H14" s="12" t="n"/>
    </row>
    <row r="15" ht="25" customHeight="1">
      <c r="A15" s="13" t="inlineStr">
        <is>
          <t>Sub Total</t>
        </is>
      </c>
      <c r="B15" s="14">
        <f>SUM(B3:B14)</f>
        <v/>
      </c>
      <c r="C15" s="14">
        <f>SUM(C3:C14)</f>
        <v/>
      </c>
      <c r="D15" s="14">
        <f>SUM(D3:D14)</f>
        <v/>
      </c>
      <c r="E15" s="14">
        <f>SUM(E3:E14)</f>
        <v/>
      </c>
      <c r="F15" s="14">
        <f>SUM(F3:F14)</f>
        <v/>
      </c>
      <c r="G15" s="14">
        <f>SUM(G3:G14)</f>
        <v/>
      </c>
      <c r="H15" s="14" t="n"/>
    </row>
  </sheetData>
  <mergeCells count="8"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2026-08-14T18:39:29Z</dcterms:created>
  <dcterms:modified xsi:type="dcterms:W3CDTF">2026-08-14T18:39:29Z</dcterms:modified>
</cp:coreProperties>
</file>